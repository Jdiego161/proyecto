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embeddings/oleObject1.bin" ContentType="application/vnd.openxmlformats-officedocument.oleObject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ctrlProps/ctrlProp3.xml" ContentType="application/vnd.ms-excel.controlproperties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ntrolCalidad\Desktop\"/>
    </mc:Choice>
  </mc:AlternateContent>
  <xr:revisionPtr revIDLastSave="0" documentId="13_ncr:1_{2C8E9F30-8883-4C63-8DD1-DD77B125E03F}" xr6:coauthVersionLast="47" xr6:coauthVersionMax="47" xr10:uidLastSave="{00000000-0000-0000-0000-000000000000}"/>
  <bookViews>
    <workbookView xWindow="-120" yWindow="-120" windowWidth="21840" windowHeight="13140" firstSheet="14" activeTab="19" xr2:uid="{638D3BB6-1F0E-46CF-8022-DB7541C95005}"/>
  </bookViews>
  <sheets>
    <sheet name="INICIO" sheetId="19" r:id="rId1"/>
    <sheet name="Otros" sheetId="18" r:id="rId2"/>
    <sheet name="Queso_Crema" sheetId="17" r:id="rId3"/>
    <sheet name="Calderas" sheetId="16" r:id="rId4"/>
    <sheet name="Certificado" sheetId="15" r:id="rId5"/>
    <sheet name="RECIBO" sheetId="14" r:id="rId6"/>
    <sheet name="IMPRESION" sheetId="13" r:id="rId7"/>
    <sheet name="Liberacion" sheetId="12" r:id="rId8"/>
    <sheet name="Envasado" sheetId="11" r:id="rId9"/>
    <sheet name="Suero_Polvo" sheetId="10" r:id="rId10"/>
    <sheet name="Solidos_Mantequilla" sheetId="9" r:id="rId11"/>
    <sheet name="Ollas_Sec2" sheetId="8" r:id="rId12"/>
    <sheet name="Color" sheetId="7" r:id="rId13"/>
    <sheet name="OLLAS" sheetId="6" r:id="rId14"/>
    <sheet name="Jarabe_Maiz" sheetId="5" r:id="rId15"/>
    <sheet name="Colageno" sheetId="4" r:id="rId16"/>
    <sheet name="Calostro" sheetId="3" r:id="rId17"/>
    <sheet name="Configuracion" sheetId="1" r:id="rId18"/>
    <sheet name="PlantillaCertificado" sheetId="2" r:id="rId19"/>
    <sheet name="DatosCertificado" sheetId="20" r:id="rId20"/>
  </sheets>
  <functionGroups builtInGroupCount="19"/>
  <externalReferences>
    <externalReference r:id="rId21"/>
  </externalReferences>
  <definedNames>
    <definedName name="_xlnm.Print_Area" localSheetId="4">Certificado!$A$1:$W$57</definedName>
    <definedName name="_xlnm.Print_Area" localSheetId="6">IMPRESION!$A$1:$P$57</definedName>
    <definedName name="_xlnm.Print_Area" localSheetId="13">OLLAS!$A$1:$Q$34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2" l="1"/>
  <c r="R3" i="2"/>
  <c r="F3" i="2"/>
  <c r="R2" i="2"/>
  <c r="T1" i="2"/>
  <c r="X7" i="18" l="1"/>
  <c r="A7" i="18"/>
  <c r="A7" i="17"/>
  <c r="A7" i="16"/>
  <c r="T1" i="15"/>
  <c r="U7" i="14"/>
  <c r="A7" i="14"/>
  <c r="L56" i="13"/>
  <c r="J52" i="13"/>
  <c r="O50" i="13"/>
  <c r="J50" i="13"/>
  <c r="O48" i="13"/>
  <c r="J48" i="13"/>
  <c r="O47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1" i="13"/>
  <c r="L19" i="13"/>
  <c r="L17" i="13"/>
  <c r="L16" i="13"/>
  <c r="L13" i="13"/>
  <c r="L9" i="13"/>
  <c r="V7" i="12"/>
  <c r="A7" i="12"/>
  <c r="A7" i="11"/>
  <c r="A7" i="10"/>
  <c r="A7" i="9"/>
  <c r="A7" i="8"/>
  <c r="A7" i="7"/>
  <c r="A7" i="6"/>
  <c r="A7" i="5"/>
  <c r="A7" i="4"/>
  <c r="A7" i="3"/>
</calcChain>
</file>

<file path=xl/sharedStrings.xml><?xml version="1.0" encoding="utf-8"?>
<sst xmlns="http://schemas.openxmlformats.org/spreadsheetml/2006/main" count="973" uniqueCount="256">
  <si>
    <t>KENIA</t>
  </si>
  <si>
    <t>Caracteristico</t>
  </si>
  <si>
    <t>SJM-43</t>
  </si>
  <si>
    <t>4HE901-43</t>
  </si>
  <si>
    <t>ALFONSO</t>
  </si>
  <si>
    <t>ADFADF</t>
  </si>
  <si>
    <t>PROCESO S1</t>
  </si>
  <si>
    <t>DSFDSFSA</t>
  </si>
  <si>
    <t>B</t>
  </si>
  <si>
    <t>ADSGFDG</t>
  </si>
  <si>
    <t>4HE903-43</t>
  </si>
  <si>
    <t>C</t>
  </si>
  <si>
    <t>SE REMUESTREARA</t>
  </si>
  <si>
    <t>4HE904-43</t>
  </si>
  <si>
    <t>SJM-GH</t>
  </si>
  <si>
    <t>4hdejdfd</t>
  </si>
  <si>
    <t>LUPITA</t>
  </si>
  <si>
    <t>SE REALIZARA REMUESTREO</t>
  </si>
  <si>
    <t>4df5dfa</t>
  </si>
  <si>
    <t>FANNY</t>
  </si>
  <si>
    <t>A</t>
  </si>
  <si>
    <t>fdf</t>
  </si>
  <si>
    <t>Fd</t>
  </si>
  <si>
    <t>asdg</t>
  </si>
  <si>
    <t>Fds</t>
  </si>
  <si>
    <t>arranque</t>
  </si>
  <si>
    <t>d</t>
  </si>
  <si>
    <t>dsfadg</t>
  </si>
  <si>
    <t>df</t>
  </si>
  <si>
    <t>fue de se remuestrea</t>
  </si>
  <si>
    <t>fasdf</t>
  </si>
  <si>
    <t>se remuestreara</t>
  </si>
  <si>
    <t>se remujestra</t>
  </si>
  <si>
    <t>5df4a</t>
  </si>
  <si>
    <t>gf</t>
  </si>
  <si>
    <t>wdsa</t>
  </si>
  <si>
    <t>PRODUCTOS LDM, S.A.  DE C.V.</t>
  </si>
  <si>
    <t>FORMATO</t>
  </si>
  <si>
    <t>BITACORA DE RESULTADOS DE LABORATORIO</t>
  </si>
  <si>
    <t>Código:</t>
  </si>
  <si>
    <t>Versión:</t>
  </si>
  <si>
    <t>Fecha:</t>
  </si>
  <si>
    <t>Página 1 de 7</t>
  </si>
  <si>
    <t>FO-CC-FQ-001</t>
  </si>
  <si>
    <t>Julio.2024</t>
  </si>
  <si>
    <t>SECADOR 1</t>
  </si>
  <si>
    <t>FECHA</t>
  </si>
  <si>
    <t>HORA</t>
  </si>
  <si>
    <t>PRODUCTO</t>
  </si>
  <si>
    <t>AREA</t>
  </si>
  <si>
    <t>LOTE</t>
  </si>
  <si>
    <t>ANALISTA</t>
  </si>
  <si>
    <t>SACO</t>
  </si>
  <si>
    <t>PH</t>
  </si>
  <si>
    <t>ACIDEZ</t>
  </si>
  <si>
    <t>GRASA</t>
  </si>
  <si>
    <t xml:space="preserve">HUMEDAD Max 6 % </t>
  </si>
  <si>
    <t>BARRIDO   Max 5 ptos</t>
  </si>
  <si>
    <t>DISCO              Max B</t>
  </si>
  <si>
    <r>
      <t>COLOR            L</t>
    </r>
    <r>
      <rPr>
        <b/>
        <sz val="8"/>
        <color theme="1"/>
        <rFont val="Calibri"/>
        <family val="2"/>
      </rPr>
      <t>ig. Amarillo - Amarillo</t>
    </r>
  </si>
  <si>
    <r>
      <t xml:space="preserve">SABOR:             </t>
    </r>
    <r>
      <rPr>
        <b/>
        <sz val="8"/>
        <color theme="1"/>
        <rFont val="Calibri"/>
        <family val="2"/>
      </rPr>
      <t>Característico Lácteo, sin sabores extraños</t>
    </r>
  </si>
  <si>
    <r>
      <t xml:space="preserve">OLOR:                </t>
    </r>
    <r>
      <rPr>
        <b/>
        <sz val="8"/>
        <color theme="1"/>
        <rFont val="Calibri"/>
        <family val="2"/>
      </rPr>
      <t>Característico Lácteo, sin olores extraños</t>
    </r>
  </si>
  <si>
    <t>COMENTARIOS</t>
  </si>
  <si>
    <t>COMENTARIOS2</t>
  </si>
  <si>
    <t>COMENTARIOS3</t>
  </si>
  <si>
    <t>COMENTARIOS4</t>
  </si>
  <si>
    <t>PRODUCTOS LA SAUCEDA</t>
  </si>
  <si>
    <t>pH
6 - 8</t>
  </si>
  <si>
    <t>DISCO              Max C</t>
  </si>
  <si>
    <t>COLOR</t>
  </si>
  <si>
    <t>SABOR</t>
  </si>
  <si>
    <t>OLOR</t>
  </si>
  <si>
    <t/>
  </si>
  <si>
    <t>SOLIDOS DE MANTEQUILLA</t>
  </si>
  <si>
    <t>CONDUCTIVIDAD 0-100  µS/cm AL 30%</t>
  </si>
  <si>
    <t>OLLA</t>
  </si>
  <si>
    <t>°BX</t>
  </si>
  <si>
    <t>pH
JDM: 6 - 8
SDM: 5.8 - 7</t>
  </si>
  <si>
    <t>% ST TERMO:
JDM:  58 - 61%
SDM: 35 - 45%</t>
  </si>
  <si>
    <t xml:space="preserve">TEMPERATURA °C : 
80-85 </t>
  </si>
  <si>
    <t>CONDUCTIVIDAD</t>
  </si>
  <si>
    <t>DENSIDAD</t>
  </si>
  <si>
    <t>SECADOR 2</t>
  </si>
  <si>
    <t>MOR-COLOR / COLOR 1</t>
  </si>
  <si>
    <r>
      <t xml:space="preserve">pH (1% p/v): 
 </t>
    </r>
    <r>
      <rPr>
        <b/>
        <sz val="9"/>
        <color theme="1"/>
        <rFont val="Calibri"/>
        <family val="2"/>
      </rPr>
      <t>COLOR 1: 4.8 - 5.2
 COLOR 2: 3.0 - 4.0</t>
    </r>
  </si>
  <si>
    <t xml:space="preserve">HUMEDAD Max 5 % </t>
  </si>
  <si>
    <r>
      <t xml:space="preserve">IMPUREZAS: 
</t>
    </r>
    <r>
      <rPr>
        <b/>
        <sz val="8"/>
        <color theme="1"/>
        <rFont val="Calibri"/>
        <family val="2"/>
      </rPr>
      <t>3.0 g/350 ml.</t>
    </r>
  </si>
  <si>
    <t>COLOR:          NEGRO</t>
  </si>
  <si>
    <t>APARIENCIA: 
POLVO FINO</t>
  </si>
  <si>
    <t>MATERIA EXTRAÑA: 
LIBRE</t>
  </si>
  <si>
    <t>MORCOLOR</t>
  </si>
  <si>
    <t>SEC.2</t>
  </si>
  <si>
    <t>4HE906</t>
  </si>
  <si>
    <t>ST 25°C
 47 - 51</t>
  </si>
  <si>
    <t>TIPO</t>
  </si>
  <si>
    <t>pH:                       6 a 7</t>
  </si>
  <si>
    <t>Acidez °D:       11 a 19</t>
  </si>
  <si>
    <t>% GRASA:   0 - 9.0</t>
  </si>
  <si>
    <t>%PROTEINA:        28 Min</t>
  </si>
  <si>
    <t>pH:                     
5.8 - 6.6</t>
  </si>
  <si>
    <t>Acidez °D:       
8 a 16</t>
  </si>
  <si>
    <t>% GRASA:   
0.5 - 3.0</t>
  </si>
  <si>
    <t xml:space="preserve">HUMEDAD 
Max 4 % </t>
  </si>
  <si>
    <t>BARRIDO   
Max 5 ptos</t>
  </si>
  <si>
    <t>DISCO              
Max B</t>
  </si>
  <si>
    <t>%PROTEINA:        
9 Min</t>
  </si>
  <si>
    <t>% Cloruros              
Na CI a 2% (BH)  Max 4</t>
  </si>
  <si>
    <t>% Cenizas    
Max 12</t>
  </si>
  <si>
    <t>COLOR  
De blanco a crema</t>
  </si>
  <si>
    <r>
      <t xml:space="preserve">SABOR:             
</t>
    </r>
    <r>
      <rPr>
        <b/>
        <sz val="8"/>
        <color theme="1"/>
        <rFont val="Calibri"/>
        <family val="2"/>
      </rPr>
      <t>Característico Lácteo, sin sabores extraños</t>
    </r>
  </si>
  <si>
    <r>
      <t xml:space="preserve">OLOR:                
</t>
    </r>
    <r>
      <rPr>
        <b/>
        <sz val="8"/>
        <color theme="1"/>
        <rFont val="Calibri"/>
        <family val="2"/>
      </rPr>
      <t>Característico Lácteo, sin olores extraños</t>
    </r>
  </si>
  <si>
    <t>ENVASADO</t>
  </si>
  <si>
    <t xml:space="preserve">CALOSTRO BOVINO EN POLVO </t>
  </si>
  <si>
    <t>TARIMA</t>
  </si>
  <si>
    <t>GRASA
MIN 18%</t>
  </si>
  <si>
    <t>Productos La Sauceda</t>
  </si>
  <si>
    <t>PROCEDENCIA</t>
  </si>
  <si>
    <t>DESTINO</t>
  </si>
  <si>
    <t>TICKET</t>
  </si>
  <si>
    <t>KILOS</t>
  </si>
  <si>
    <t>TANQUE/PLACAS</t>
  </si>
  <si>
    <t>SELLOS</t>
  </si>
  <si>
    <t>SELLOS2</t>
  </si>
  <si>
    <t>TEMPERATURA:                      
 6 a 7</t>
  </si>
  <si>
    <t>ACIDEZ °D:                      
 6 a 8</t>
  </si>
  <si>
    <t>% GRASA :      
 11 a 19</t>
  </si>
  <si>
    <t>DENSIDAD g/l:  
 0 - 9.0</t>
  </si>
  <si>
    <t>INDICE CRIOSCOPO °H:</t>
  </si>
  <si>
    <t>% ST</t>
  </si>
  <si>
    <t>% SNG</t>
  </si>
  <si>
    <t>%PROTEINA</t>
  </si>
  <si>
    <t>NEUTRALIZANTES</t>
  </si>
  <si>
    <t>PBA ALCOHOL 65</t>
  </si>
  <si>
    <t>PBA ALCOHOL 75</t>
  </si>
  <si>
    <t>HUMEDAD %</t>
  </si>
  <si>
    <t>ANTIBIOTICOS</t>
  </si>
  <si>
    <t>pH</t>
  </si>
  <si>
    <t>CLORUROS</t>
  </si>
  <si>
    <t>PBA CLORO</t>
  </si>
  <si>
    <t>AROMA</t>
  </si>
  <si>
    <t>OTROS PROTEINA</t>
  </si>
  <si>
    <t>Columna1</t>
  </si>
  <si>
    <t>Columna2</t>
  </si>
  <si>
    <t>Columna3</t>
  </si>
  <si>
    <t>REPORTE DE RESULTADOS ANALISIS FISICOQUIMICOS SALIDAS</t>
  </si>
  <si>
    <t>Página 1 de 1</t>
  </si>
  <si>
    <t>FO-CC-FQ-013</t>
  </si>
  <si>
    <t>FECHA:</t>
  </si>
  <si>
    <t>HORA:</t>
  </si>
  <si>
    <t>PROCEDENCIA:</t>
  </si>
  <si>
    <t>DESTINO:</t>
  </si>
  <si>
    <t>GDL</t>
  </si>
  <si>
    <t>PRODUCTO:</t>
  </si>
  <si>
    <t>CREMA</t>
  </si>
  <si>
    <t>LOTE:</t>
  </si>
  <si>
    <t>ABC</t>
  </si>
  <si>
    <t>NO. DE TICKET:</t>
  </si>
  <si>
    <t>AG552</t>
  </si>
  <si>
    <t>KILOS:</t>
  </si>
  <si>
    <t>PARÁMETROS</t>
  </si>
  <si>
    <t>RESULTADOS</t>
  </si>
  <si>
    <t>TEMPERATURA °C</t>
  </si>
  <si>
    <t>ACIDEZ ° DORINC</t>
  </si>
  <si>
    <t>GRASA %</t>
  </si>
  <si>
    <t>DENSIDAD g/l</t>
  </si>
  <si>
    <t>INDICE CRIOSCOPICO</t>
  </si>
  <si>
    <t>SOLIDOS TOTALES</t>
  </si>
  <si>
    <t>SOLIDOS NO GRASOS</t>
  </si>
  <si>
    <t>PROTEINA %</t>
  </si>
  <si>
    <t>PBA. NEUTRALIZANTES</t>
  </si>
  <si>
    <t>Negativo</t>
  </si>
  <si>
    <t>PBA DE ALCOHOL 65%</t>
  </si>
  <si>
    <t>PBA DE ALCOHOL 75%</t>
  </si>
  <si>
    <t>PBA. DE CLORO</t>
  </si>
  <si>
    <t>OTROS</t>
  </si>
  <si>
    <t>N/A</t>
  </si>
  <si>
    <t>OBSERVACIONES:</t>
  </si>
  <si>
    <t>SELLOS :</t>
  </si>
  <si>
    <t>AG401</t>
  </si>
  <si>
    <t>OK</t>
  </si>
  <si>
    <t>AG402</t>
  </si>
  <si>
    <t>OKL</t>
  </si>
  <si>
    <t>OL</t>
  </si>
  <si>
    <t>Alfonso.</t>
  </si>
  <si>
    <t>SUPERVISOR</t>
  </si>
  <si>
    <t>ORIGINAL</t>
  </si>
  <si>
    <t>COPIA</t>
  </si>
  <si>
    <t>PROTEINA</t>
  </si>
  <si>
    <t>CERTIFICADO DE CALIDAD</t>
  </si>
  <si>
    <t>Fecha Certificado:</t>
  </si>
  <si>
    <t>No. Ticket</t>
  </si>
  <si>
    <t>SUERO DE MANTEQUILLA LIQUIDO</t>
  </si>
  <si>
    <t>Kg Total:</t>
  </si>
  <si>
    <t>Fecha Salida:</t>
  </si>
  <si>
    <t>PARÁMETROS FISICOQUÍMICOS</t>
  </si>
  <si>
    <t>Parámetro</t>
  </si>
  <si>
    <t>Especificación</t>
  </si>
  <si>
    <t>Resultado</t>
  </si>
  <si>
    <t>min.</t>
  </si>
  <si>
    <t>max.</t>
  </si>
  <si>
    <t>Temperatura</t>
  </si>
  <si>
    <t>Acidez °D</t>
  </si>
  <si>
    <t>Densidad</t>
  </si>
  <si>
    <t>Solidos Totales</t>
  </si>
  <si>
    <t>Grasa</t>
  </si>
  <si>
    <t>PARÁMETROS MICROBIOLÓGICOS</t>
  </si>
  <si>
    <t>NO APLICA</t>
  </si>
  <si>
    <t>PARÁMETROS SENSORIALES</t>
  </si>
  <si>
    <t>Color</t>
  </si>
  <si>
    <t>Ligero amarillo - Amarillo</t>
  </si>
  <si>
    <t>Cumple</t>
  </si>
  <si>
    <t>Olor</t>
  </si>
  <si>
    <t>Característico lácteo, sin olores ajenos</t>
  </si>
  <si>
    <t>Sabor</t>
  </si>
  <si>
    <t>Característico lácteo sin sabores ajenos</t>
  </si>
  <si>
    <t>Apariencia / Textura</t>
  </si>
  <si>
    <t>Liquida</t>
  </si>
  <si>
    <t>Materia extraña</t>
  </si>
  <si>
    <t>Libre de materia extraña</t>
  </si>
  <si>
    <t>Coordinación de Control de Calidad</t>
  </si>
  <si>
    <t>Juan Diego Herrera</t>
  </si>
  <si>
    <t>PROCESO</t>
  </si>
  <si>
    <t>CALDERAS</t>
  </si>
  <si>
    <t>EQUIPO</t>
  </si>
  <si>
    <t xml:space="preserve">TEMP °C:                      </t>
  </si>
  <si>
    <t>Alc.Fenolft.ppm: 
250-600</t>
  </si>
  <si>
    <t>Alc.Total ppm: 
400-900</t>
  </si>
  <si>
    <t>Cloruros ppm: 
150 MAX</t>
  </si>
  <si>
    <t>pH:
 10.5-11.5</t>
  </si>
  <si>
    <t>Dureza ppm: 
0</t>
  </si>
  <si>
    <t>% ST:
1- 3 ppt (g/l)</t>
  </si>
  <si>
    <t>Sulfitos ppm:
10 a 20</t>
  </si>
  <si>
    <t>Conductividad:
Max: 300</t>
  </si>
  <si>
    <t>Cloro Libre:
0.2 - 1.5 mg/L</t>
  </si>
  <si>
    <t>Comentarios</t>
  </si>
  <si>
    <t>DERIVADOS</t>
  </si>
  <si>
    <t>QUESO CREMA</t>
  </si>
  <si>
    <t>pH
5.2 - 5.4</t>
  </si>
  <si>
    <t xml:space="preserve">% HUMEDAD
39-42 </t>
  </si>
  <si>
    <t>% Grasa
42 - 46</t>
  </si>
  <si>
    <t>% Cloruros
0.9 - 1.5</t>
  </si>
  <si>
    <t xml:space="preserve">% Proteina
</t>
  </si>
  <si>
    <t>Funcionales</t>
  </si>
  <si>
    <t>HORA SOLICITUD</t>
  </si>
  <si>
    <t>HORA ENTREGA</t>
  </si>
  <si>
    <t>AJUSTE</t>
  </si>
  <si>
    <t>COMENTARIO</t>
  </si>
  <si>
    <t>COMENTARIO2</t>
  </si>
  <si>
    <t>COMENT COLOR</t>
  </si>
  <si>
    <t>COMENT OLOR</t>
  </si>
  <si>
    <t>01 dic. 2022</t>
  </si>
  <si>
    <t>FechaCertificado</t>
  </si>
  <si>
    <t>NoTicket</t>
  </si>
  <si>
    <t>Producto</t>
  </si>
  <si>
    <t>KgTotal</t>
  </si>
  <si>
    <t>FechaSalida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</si>
</sst>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9"/>
      <color theme="1"/>
      <name val="Calibri"/>
      <family val="2"/>
    </font>
    <font>
      <b/>
      <sz val="11"/>
      <color rgb="FF000000"/>
      <name val="Calibri"/>
      <family val="2"/>
    </font>
    <font>
      <sz val="26"/>
      <color rgb="FF000000"/>
      <name val="Aptos Narrow"/>
      <family val="2"/>
    </font>
    <font>
      <sz val="22"/>
      <color theme="1"/>
      <name val="Calibri"/>
      <family val="2"/>
    </font>
    <font>
      <b/>
      <sz val="22"/>
      <color theme="1"/>
      <name val="Calibri"/>
      <family val="2"/>
    </font>
    <font>
      <b/>
      <sz val="26"/>
      <color theme="1"/>
      <name val="Calibri"/>
      <family val="2"/>
    </font>
    <font>
      <sz val="24"/>
      <color theme="1"/>
      <name val="Calibri"/>
      <family val="2"/>
      <scheme val="minor"/>
    </font>
    <font>
      <sz val="24"/>
      <color theme="1"/>
      <name val="Calibri"/>
      <family val="2"/>
    </font>
    <font>
      <sz val="26"/>
      <color theme="1"/>
      <name val="Calibri"/>
      <family val="2"/>
    </font>
    <font>
      <b/>
      <sz val="28"/>
      <color theme="1"/>
      <name val="Calibri"/>
      <family val="2"/>
    </font>
    <font>
      <sz val="18"/>
      <color theme="1"/>
      <name val="Calibri"/>
      <family val="2"/>
    </font>
    <font>
      <b/>
      <sz val="24"/>
      <color theme="1"/>
      <name val="Calibri"/>
      <family val="2"/>
    </font>
    <font>
      <b/>
      <sz val="36"/>
      <color theme="1"/>
      <name val="Calibri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40404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/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8">
    <xf numFmtId="0" fontId="0" fillId="0" borderId="0" xfId="0"/>
    <xf numFmtId="14" fontId="0" fillId="0" borderId="0" xfId="0" applyNumberFormat="1"/>
    <xf numFmtId="20" fontId="0" fillId="0" borderId="0" xfId="0" applyNumberFormat="1"/>
    <xf numFmtId="2" fontId="0" fillId="0" borderId="0" xfId="0" applyNumberFormat="1"/>
    <xf numFmtId="14" fontId="1" fillId="2" borderId="0" xfId="0" applyNumberFormat="1" applyFont="1" applyFill="1"/>
    <xf numFmtId="20" fontId="1" fillId="2" borderId="0" xfId="0" applyNumberFormat="1" applyFont="1" applyFill="1"/>
    <xf numFmtId="0" fontId="1" fillId="2" borderId="0" xfId="0" applyFont="1" applyFill="1"/>
    <xf numFmtId="2" fontId="1" fillId="2" borderId="0" xfId="0" applyNumberFormat="1" applyFont="1" applyFill="1"/>
    <xf numFmtId="0" fontId="4" fillId="0" borderId="1" xfId="0" applyFont="1" applyBorder="1" applyAlignment="1">
      <alignment vertical="top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vertical="top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14" fontId="3" fillId="0" borderId="0" xfId="0" applyNumberFormat="1" applyFont="1"/>
    <xf numFmtId="0" fontId="3" fillId="3" borderId="0" xfId="0" applyFont="1" applyFill="1"/>
    <xf numFmtId="0" fontId="8" fillId="4" borderId="15" xfId="0" applyFont="1" applyFill="1" applyBorder="1" applyAlignment="1">
      <alignment horizontal="center" vertical="center" wrapText="1"/>
    </xf>
    <xf numFmtId="2" fontId="8" fillId="4" borderId="16" xfId="0" applyNumberFormat="1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5" borderId="16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center" wrapText="1"/>
    </xf>
    <xf numFmtId="0" fontId="8" fillId="5" borderId="18" xfId="0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14" fontId="8" fillId="0" borderId="20" xfId="0" applyNumberFormat="1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20" fontId="8" fillId="0" borderId="21" xfId="0" applyNumberFormat="1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14" fontId="8" fillId="0" borderId="23" xfId="0" applyNumberFormat="1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4" borderId="19" xfId="0" applyFont="1" applyFill="1" applyBorder="1" applyAlignment="1">
      <alignment horizontal="center" vertical="center" wrapText="1"/>
    </xf>
    <xf numFmtId="0" fontId="8" fillId="5" borderId="19" xfId="0" applyFont="1" applyFill="1" applyBorder="1" applyAlignment="1">
      <alignment horizontal="center" vertical="center" wrapText="1"/>
    </xf>
    <xf numFmtId="0" fontId="8" fillId="5" borderId="32" xfId="0" applyFont="1" applyFill="1" applyBorder="1" applyAlignment="1">
      <alignment horizontal="center" vertical="center" wrapText="1"/>
    </xf>
    <xf numFmtId="14" fontId="8" fillId="4" borderId="0" xfId="0" applyNumberFormat="1" applyFont="1" applyFill="1" applyAlignment="1">
      <alignment horizontal="center" vertical="center" wrapText="1"/>
    </xf>
    <xf numFmtId="20" fontId="8" fillId="4" borderId="0" xfId="0" applyNumberFormat="1" applyFont="1" applyFill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3" fillId="0" borderId="0" xfId="0" applyFont="1"/>
    <xf numFmtId="0" fontId="8" fillId="0" borderId="33" xfId="0" applyFont="1" applyBorder="1" applyAlignment="1">
      <alignment horizontal="center" vertical="center" wrapText="1"/>
    </xf>
    <xf numFmtId="0" fontId="8" fillId="5" borderId="19" xfId="0" applyFont="1" applyFill="1" applyBorder="1" applyAlignment="1">
      <alignment horizontal="center" vertical="center"/>
    </xf>
    <xf numFmtId="0" fontId="8" fillId="5" borderId="32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0" fontId="8" fillId="4" borderId="21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8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8" fillId="5" borderId="27" xfId="0" applyFont="1" applyFill="1" applyBorder="1" applyAlignment="1">
      <alignment horizontal="center" vertical="center" wrapText="1"/>
    </xf>
    <xf numFmtId="14" fontId="8" fillId="0" borderId="0" xfId="0" applyNumberFormat="1" applyFont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20" fontId="8" fillId="0" borderId="0" xfId="0" applyNumberFormat="1" applyFont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35" xfId="0" applyFont="1" applyFill="1" applyBorder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2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13" fillId="0" borderId="36" xfId="0" applyFont="1" applyBorder="1" applyAlignment="1">
      <alignment horizontal="center" wrapText="1"/>
    </xf>
    <xf numFmtId="0" fontId="13" fillId="0" borderId="37" xfId="0" applyFont="1" applyBorder="1" applyAlignment="1">
      <alignment horizontal="center" wrapText="1"/>
    </xf>
    <xf numFmtId="0" fontId="13" fillId="0" borderId="38" xfId="0" applyFont="1" applyBorder="1" applyAlignment="1">
      <alignment horizontal="center" wrapText="1"/>
    </xf>
    <xf numFmtId="0" fontId="13" fillId="0" borderId="10" xfId="0" applyFont="1" applyBorder="1" applyAlignment="1">
      <alignment wrapText="1"/>
    </xf>
    <xf numFmtId="0" fontId="13" fillId="0" borderId="39" xfId="0" applyFont="1" applyBorder="1" applyAlignment="1">
      <alignment wrapText="1"/>
    </xf>
    <xf numFmtId="0" fontId="4" fillId="0" borderId="10" xfId="0" applyFont="1" applyBorder="1" applyAlignment="1">
      <alignment wrapText="1"/>
    </xf>
    <xf numFmtId="0" fontId="4" fillId="0" borderId="9" xfId="0" applyFont="1" applyBorder="1" applyAlignment="1">
      <alignment wrapText="1"/>
    </xf>
    <xf numFmtId="0" fontId="13" fillId="0" borderId="40" xfId="0" applyFont="1" applyBorder="1" applyAlignment="1">
      <alignment horizontal="center" wrapText="1"/>
    </xf>
    <xf numFmtId="0" fontId="13" fillId="0" borderId="41" xfId="0" applyFont="1" applyBorder="1" applyAlignment="1">
      <alignment horizontal="center" wrapText="1"/>
    </xf>
    <xf numFmtId="0" fontId="13" fillId="0" borderId="42" xfId="0" applyFont="1" applyBorder="1" applyAlignment="1">
      <alignment horizontal="center" wrapText="1"/>
    </xf>
    <xf numFmtId="0" fontId="0" fillId="0" borderId="10" xfId="0" applyBorder="1"/>
    <xf numFmtId="0" fontId="14" fillId="0" borderId="43" xfId="0" applyFont="1" applyBorder="1" applyAlignment="1">
      <alignment horizontal="center" vertical="center" wrapText="1"/>
    </xf>
    <xf numFmtId="0" fontId="14" fillId="0" borderId="44" xfId="0" applyFont="1" applyBorder="1" applyAlignment="1">
      <alignment horizontal="center" vertical="center" wrapText="1"/>
    </xf>
    <xf numFmtId="0" fontId="14" fillId="0" borderId="45" xfId="0" applyFont="1" applyBorder="1" applyAlignment="1">
      <alignment horizontal="center" vertical="center" wrapText="1"/>
    </xf>
    <xf numFmtId="0" fontId="14" fillId="0" borderId="46" xfId="0" applyFont="1" applyBorder="1" applyAlignment="1">
      <alignment horizontal="center" vertical="center" wrapText="1"/>
    </xf>
    <xf numFmtId="0" fontId="14" fillId="0" borderId="47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4" fillId="0" borderId="12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14" fillId="0" borderId="48" xfId="0" applyFont="1" applyBorder="1" applyAlignment="1">
      <alignment horizontal="center" vertical="top" wrapText="1"/>
    </xf>
    <xf numFmtId="0" fontId="14" fillId="0" borderId="49" xfId="0" applyFont="1" applyBorder="1" applyAlignment="1">
      <alignment horizontal="center" vertical="center" wrapText="1"/>
    </xf>
    <xf numFmtId="15" fontId="14" fillId="0" borderId="49" xfId="0" applyNumberFormat="1" applyFont="1" applyBorder="1" applyAlignment="1">
      <alignment horizontal="center" vertical="center" wrapText="1"/>
    </xf>
    <xf numFmtId="0" fontId="14" fillId="0" borderId="50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0" fontId="14" fillId="0" borderId="39" xfId="0" applyFont="1" applyBorder="1" applyAlignment="1">
      <alignment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4" fillId="0" borderId="39" xfId="0" applyFont="1" applyBorder="1" applyAlignment="1">
      <alignment vertical="center" wrapText="1"/>
    </xf>
    <xf numFmtId="0" fontId="15" fillId="0" borderId="0" xfId="0" applyFont="1" applyAlignment="1">
      <alignment horizontal="center" vertical="center"/>
    </xf>
    <xf numFmtId="14" fontId="16" fillId="0" borderId="0" xfId="0" applyNumberFormat="1" applyFont="1"/>
    <xf numFmtId="20" fontId="17" fillId="0" borderId="0" xfId="0" applyNumberFormat="1" applyFont="1" applyAlignment="1">
      <alignment vertical="center" wrapText="1"/>
    </xf>
    <xf numFmtId="0" fontId="4" fillId="0" borderId="47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 applyAlignment="1">
      <alignment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47" xfId="0" applyFont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18" fillId="0" borderId="9" xfId="0" applyFont="1" applyBorder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" fillId="0" borderId="47" xfId="0" applyFont="1" applyBorder="1" applyAlignment="1">
      <alignment wrapText="1"/>
    </xf>
    <xf numFmtId="0" fontId="15" fillId="0" borderId="9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right" vertical="center" wrapText="1"/>
    </xf>
    <xf numFmtId="0" fontId="15" fillId="0" borderId="0" xfId="0" applyFont="1" applyAlignment="1">
      <alignment horizontal="right" vertical="center" wrapText="1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47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wrapText="1"/>
    </xf>
    <xf numFmtId="0" fontId="18" fillId="0" borderId="3" xfId="0" applyFont="1" applyBorder="1" applyAlignment="1">
      <alignment horizontal="center" wrapText="1"/>
    </xf>
    <xf numFmtId="0" fontId="18" fillId="0" borderId="4" xfId="0" applyFont="1" applyBorder="1" applyAlignment="1">
      <alignment horizontal="center" wrapText="1"/>
    </xf>
    <xf numFmtId="0" fontId="18" fillId="0" borderId="9" xfId="0" applyFont="1" applyBorder="1" applyAlignment="1">
      <alignment horizontal="center" wrapText="1"/>
    </xf>
    <xf numFmtId="0" fontId="18" fillId="0" borderId="47" xfId="0" applyFont="1" applyBorder="1" applyAlignment="1">
      <alignment horizontal="center" wrapText="1"/>
    </xf>
    <xf numFmtId="0" fontId="19" fillId="0" borderId="2" xfId="0" applyFont="1" applyBorder="1" applyAlignment="1">
      <alignment horizontal="center" wrapText="1"/>
    </xf>
    <xf numFmtId="0" fontId="19" fillId="0" borderId="3" xfId="0" applyFont="1" applyBorder="1" applyAlignment="1">
      <alignment horizontal="center" wrapText="1"/>
    </xf>
    <xf numFmtId="0" fontId="19" fillId="0" borderId="4" xfId="0" applyFont="1" applyBorder="1" applyAlignment="1">
      <alignment horizontal="center" wrapText="1"/>
    </xf>
    <xf numFmtId="0" fontId="4" fillId="0" borderId="9" xfId="0" applyFont="1" applyBorder="1" applyAlignment="1">
      <alignment horizontal="center" wrapText="1"/>
    </xf>
    <xf numFmtId="0" fontId="4" fillId="0" borderId="47" xfId="0" applyFont="1" applyBorder="1" applyAlignment="1">
      <alignment horizontal="center" wrapText="1"/>
    </xf>
    <xf numFmtId="0" fontId="15" fillId="0" borderId="51" xfId="0" applyFont="1" applyBorder="1" applyAlignment="1">
      <alignment horizontal="center" wrapText="1"/>
    </xf>
    <xf numFmtId="0" fontId="15" fillId="0" borderId="21" xfId="0" applyFont="1" applyBorder="1" applyAlignment="1">
      <alignment horizontal="center" wrapText="1"/>
    </xf>
    <xf numFmtId="0" fontId="15" fillId="0" borderId="9" xfId="0" applyFont="1" applyBorder="1" applyAlignment="1">
      <alignment horizontal="center" wrapText="1"/>
    </xf>
    <xf numFmtId="0" fontId="15" fillId="0" borderId="47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1" xfId="0" applyFont="1" applyBorder="1" applyAlignment="1">
      <alignment horizontal="center" wrapText="1"/>
    </xf>
    <xf numFmtId="0" fontId="18" fillId="0" borderId="0" xfId="0" applyFont="1" applyAlignment="1">
      <alignment horizontal="center" wrapText="1"/>
    </xf>
    <xf numFmtId="0" fontId="15" fillId="0" borderId="0" xfId="0" applyFont="1" applyAlignment="1">
      <alignment vertical="center"/>
    </xf>
    <xf numFmtId="0" fontId="15" fillId="0" borderId="21" xfId="0" applyFont="1" applyBorder="1" applyAlignment="1">
      <alignment horizontal="center" vertical="center" wrapText="1"/>
    </xf>
    <xf numFmtId="0" fontId="20" fillId="0" borderId="51" xfId="0" applyFont="1" applyBorder="1" applyAlignment="1">
      <alignment horizontal="center" wrapText="1"/>
    </xf>
    <xf numFmtId="0" fontId="20" fillId="0" borderId="21" xfId="0" applyFont="1" applyBorder="1" applyAlignment="1">
      <alignment horizontal="center" wrapText="1"/>
    </xf>
    <xf numFmtId="0" fontId="21" fillId="0" borderId="25" xfId="0" applyFont="1" applyBorder="1" applyAlignment="1">
      <alignment horizontal="center" wrapText="1"/>
    </xf>
    <xf numFmtId="0" fontId="17" fillId="0" borderId="51" xfId="0" applyFont="1" applyBorder="1" applyAlignment="1">
      <alignment horizontal="center" wrapText="1"/>
    </xf>
    <xf numFmtId="0" fontId="17" fillId="0" borderId="21" xfId="0" applyFont="1" applyBorder="1" applyAlignment="1">
      <alignment horizontal="center" wrapText="1"/>
    </xf>
    <xf numFmtId="0" fontId="21" fillId="0" borderId="22" xfId="0" applyFont="1" applyBorder="1" applyAlignment="1">
      <alignment horizontal="center" wrapText="1"/>
    </xf>
    <xf numFmtId="0" fontId="20" fillId="0" borderId="52" xfId="0" applyFont="1" applyBorder="1" applyAlignment="1">
      <alignment horizontal="center" wrapText="1"/>
    </xf>
    <xf numFmtId="0" fontId="20" fillId="0" borderId="26" xfId="0" applyFont="1" applyBorder="1" applyAlignment="1">
      <alignment horizontal="center" wrapText="1"/>
    </xf>
    <xf numFmtId="0" fontId="20" fillId="0" borderId="30" xfId="0" applyFont="1" applyBorder="1" applyAlignment="1">
      <alignment horizontal="center" wrapText="1"/>
    </xf>
    <xf numFmtId="0" fontId="17" fillId="0" borderId="52" xfId="0" applyFont="1" applyBorder="1" applyAlignment="1">
      <alignment horizontal="center" wrapText="1"/>
    </xf>
    <xf numFmtId="0" fontId="17" fillId="0" borderId="26" xfId="0" applyFont="1" applyBorder="1" applyAlignment="1">
      <alignment horizontal="center" wrapText="1"/>
    </xf>
    <xf numFmtId="0" fontId="17" fillId="0" borderId="30" xfId="0" applyFont="1" applyBorder="1" applyAlignment="1">
      <alignment horizontal="center" wrapText="1"/>
    </xf>
    <xf numFmtId="0" fontId="20" fillId="0" borderId="53" xfId="0" applyFont="1" applyBorder="1" applyAlignment="1">
      <alignment horizontal="center" wrapText="1"/>
    </xf>
    <xf numFmtId="0" fontId="20" fillId="0" borderId="29" xfId="0" applyFont="1" applyBorder="1" applyAlignment="1">
      <alignment horizontal="center" wrapText="1"/>
    </xf>
    <xf numFmtId="0" fontId="20" fillId="0" borderId="31" xfId="0" applyFont="1" applyBorder="1" applyAlignment="1">
      <alignment horizontal="center" wrapText="1"/>
    </xf>
    <xf numFmtId="0" fontId="17" fillId="0" borderId="53" xfId="0" applyFont="1" applyBorder="1" applyAlignment="1">
      <alignment horizontal="center" wrapText="1"/>
    </xf>
    <xf numFmtId="0" fontId="17" fillId="0" borderId="29" xfId="0" applyFont="1" applyBorder="1" applyAlignment="1">
      <alignment horizontal="center" wrapText="1"/>
    </xf>
    <xf numFmtId="0" fontId="17" fillId="0" borderId="31" xfId="0" applyFont="1" applyBorder="1" applyAlignment="1">
      <alignment horizont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wrapText="1"/>
    </xf>
    <xf numFmtId="0" fontId="4" fillId="0" borderId="13" xfId="0" applyFont="1" applyBorder="1" applyAlignment="1">
      <alignment wrapText="1"/>
    </xf>
    <xf numFmtId="0" fontId="22" fillId="0" borderId="13" xfId="0" applyFont="1" applyBorder="1" applyAlignment="1">
      <alignment horizontal="center" wrapText="1"/>
    </xf>
    <xf numFmtId="0" fontId="22" fillId="0" borderId="14" xfId="0" applyFont="1" applyBorder="1" applyAlignment="1">
      <alignment horizontal="center" wrapText="1"/>
    </xf>
    <xf numFmtId="0" fontId="22" fillId="0" borderId="47" xfId="0" applyFont="1" applyBorder="1" applyAlignment="1">
      <alignment horizontal="center" wrapText="1"/>
    </xf>
    <xf numFmtId="0" fontId="22" fillId="0" borderId="0" xfId="0" applyFont="1" applyAlignment="1">
      <alignment horizontal="center" wrapText="1"/>
    </xf>
    <xf numFmtId="0" fontId="4" fillId="0" borderId="54" xfId="0" applyFont="1" applyBorder="1" applyAlignment="1">
      <alignment wrapText="1"/>
    </xf>
    <xf numFmtId="0" fontId="4" fillId="0" borderId="55" xfId="0" applyFont="1" applyBorder="1" applyAlignment="1">
      <alignment wrapText="1"/>
    </xf>
    <xf numFmtId="14" fontId="8" fillId="6" borderId="0" xfId="0" applyNumberFormat="1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6" borderId="0" xfId="0" applyFill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3" fillId="0" borderId="6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23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24" fillId="0" borderId="10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24" fillId="0" borderId="12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5" fontId="1" fillId="0" borderId="0" xfId="0" applyNumberFormat="1" applyFont="1" applyAlignment="1">
      <alignment horizontal="center"/>
    </xf>
    <xf numFmtId="0" fontId="24" fillId="0" borderId="0" xfId="0" applyFont="1"/>
    <xf numFmtId="0" fontId="26" fillId="0" borderId="0" xfId="0" applyFont="1"/>
    <xf numFmtId="0" fontId="27" fillId="0" borderId="2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3" xfId="0" applyBorder="1" applyAlignment="1">
      <alignment horizontal="center"/>
    </xf>
    <xf numFmtId="2" fontId="0" fillId="0" borderId="51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63" xfId="0" applyNumberFormat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2" fontId="0" fillId="0" borderId="66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7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14" fontId="8" fillId="7" borderId="0" xfId="0" applyNumberFormat="1" applyFont="1" applyFill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center" wrapText="1"/>
    </xf>
    <xf numFmtId="0" fontId="5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4" fillId="0" borderId="14" xfId="0" applyFont="1" applyBorder="1" applyAlignment="1">
      <alignment vertical="center" wrapText="1"/>
    </xf>
    <xf numFmtId="0" fontId="28" fillId="8" borderId="21" xfId="0" applyFont="1" applyFill="1" applyBorder="1" applyAlignment="1">
      <alignment horizontal="left" vertical="center" wrapText="1" indent="1"/>
    </xf>
    <xf numFmtId="14" fontId="28" fillId="8" borderId="21" xfId="0" applyNumberFormat="1" applyFont="1" applyFill="1" applyBorder="1" applyAlignment="1">
      <alignment horizontal="left" vertical="center" wrapText="1" indent="1"/>
    </xf>
    <xf numFmtId="0" fontId="0" fillId="0" borderId="21" xfId="0" applyBorder="1"/>
    <xf numFmtId="3" fontId="28" fillId="8" borderId="21" xfId="0" applyNumberFormat="1" applyFont="1" applyFill="1" applyBorder="1" applyAlignment="1">
      <alignment horizontal="left" vertical="center" wrapText="1" indent="1"/>
    </xf>
    <xf numFmtId="15" fontId="28" fillId="8" borderId="21" xfId="0" applyNumberFormat="1" applyFont="1" applyFill="1" applyBorder="1" applyAlignment="1">
      <alignment horizontal="left" vertical="center" wrapText="1" indent="1"/>
    </xf>
  </cellXfs>
  <cellStyles count="1">
    <cellStyle name="Normal" xfId="0" builtinId="0"/>
  </cellStyles>
  <dxfs count="36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D0D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>
        <bottom style="medium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h:mm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m/d/yyyy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85726</xdr:rowOff>
    </xdr:from>
    <xdr:to>
      <xdr:col>3</xdr:col>
      <xdr:colOff>2133600</xdr:colOff>
      <xdr:row>16</xdr:row>
      <xdr:rowOff>180976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7E421468-174F-4AAA-BC61-CFCD1BCB29E6}"/>
            </a:ext>
          </a:extLst>
        </xdr:cNvPr>
        <xdr:cNvSpPr/>
      </xdr:nvSpPr>
      <xdr:spPr>
        <a:xfrm>
          <a:off x="0" y="2676526"/>
          <a:ext cx="9201150" cy="1047750"/>
        </a:xfrm>
        <a:prstGeom prst="rect">
          <a:avLst/>
        </a:prstGeom>
        <a:gradFill flip="none" rotWithShape="1">
          <a:gsLst>
            <a:gs pos="14000">
              <a:srgbClr val="54849A">
                <a:lumMod val="50000"/>
                <a:shade val="30000"/>
                <a:satMod val="115000"/>
              </a:srgbClr>
            </a:gs>
            <a:gs pos="53000">
              <a:srgbClr val="54849A">
                <a:lumMod val="70000"/>
              </a:srgbClr>
            </a:gs>
            <a:gs pos="100000">
              <a:srgbClr val="6AAC90">
                <a:lumMod val="50000"/>
              </a:srgbClr>
            </a:gs>
          </a:gsLst>
          <a:lin ang="18900000" scaled="1"/>
          <a:tileRect/>
        </a:gradFill>
        <a:ln w="19050" cap="rnd" cmpd="sng" algn="ctr">
          <a:solidFill>
            <a:srgbClr val="B01513">
              <a:shade val="15000"/>
            </a:srgbClr>
          </a:solidFill>
          <a:prstDash val="solid"/>
        </a:ln>
        <a:effectLst>
          <a:softEdge rad="381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1pPr>
          <a:lvl2pPr marL="45720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2pPr>
          <a:lvl3pPr marL="91440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3pPr>
          <a:lvl4pPr marL="137160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4pPr>
          <a:lvl5pPr marL="182880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5pPr>
          <a:lvl6pPr marL="228600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6pPr>
          <a:lvl7pPr marL="274320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7pPr>
          <a:lvl8pPr marL="320040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8pPr>
          <a:lvl9pPr marL="3657600" algn="l" defTabSz="457200" rtl="0" eaLnBrk="1" latinLnBrk="0" hangingPunct="1">
            <a:defRPr sz="1800" kern="1200">
              <a:solidFill>
                <a:sysClr val="window" lastClr="FFFFFF"/>
              </a:solidFill>
              <a:latin typeface="Century Gothic" panose="020B0502020202020204"/>
            </a:defRPr>
          </a:lvl9pPr>
        </a:lstStyle>
        <a:p>
          <a:pPr algn="ctr"/>
          <a:r>
            <a:rPr lang="es-MX" sz="5400" b="1">
              <a:ln w="13462">
                <a:solidFill>
                  <a:sysClr val="windowText" lastClr="000000"/>
                </a:solidFill>
                <a:prstDash val="solid"/>
              </a:ln>
              <a:solidFill>
                <a:sysClr val="window" lastClr="FFFFFF">
                  <a:lumMod val="85000"/>
                  <a:lumOff val="15000"/>
                </a:sysClr>
              </a:solidFill>
              <a:effectLst>
                <a:outerShdw dist="38100" dir="2700000" algn="bl" rotWithShape="0">
                  <a:srgbClr val="54849A"/>
                </a:outerShdw>
              </a:effectLst>
            </a:rPr>
            <a:t>REGISTRO DE ANALISIS</a:t>
          </a:r>
          <a:endParaRPr lang="es-MX" sz="540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</a:endParaRPr>
        </a:p>
      </xdr:txBody>
    </xdr:sp>
    <xdr:clientData/>
  </xdr:twoCellAnchor>
  <xdr:twoCellAnchor>
    <xdr:from>
      <xdr:col>3</xdr:col>
      <xdr:colOff>1962150</xdr:colOff>
      <xdr:row>11</xdr:row>
      <xdr:rowOff>76199</xdr:rowOff>
    </xdr:from>
    <xdr:to>
      <xdr:col>4</xdr:col>
      <xdr:colOff>723900</xdr:colOff>
      <xdr:row>17</xdr:row>
      <xdr:rowOff>9524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CDF976EC-872A-41B1-9DE7-1F8985D6B367}"/>
            </a:ext>
          </a:extLst>
        </xdr:cNvPr>
        <xdr:cNvGrpSpPr/>
      </xdr:nvGrpSpPr>
      <xdr:grpSpPr>
        <a:xfrm>
          <a:off x="9021233" y="2669116"/>
          <a:ext cx="1682750" cy="1076325"/>
          <a:chOff x="7439025" y="114299"/>
          <a:chExt cx="1685925" cy="1076325"/>
        </a:xfrm>
      </xdr:grpSpPr>
      <xdr:sp macro="[0]!MostrarFormularioReporte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D957B08-78D7-6412-196F-E6EA8CD01B26}"/>
              </a:ext>
            </a:extLst>
          </xdr:cNvPr>
          <xdr:cNvSpPr/>
        </xdr:nvSpPr>
        <xdr:spPr>
          <a:xfrm>
            <a:off x="7439025" y="114299"/>
            <a:ext cx="1676400" cy="1076325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1100"/>
              <a:t>                                 </a:t>
            </a:r>
          </a:p>
        </xdr:txBody>
      </xdr:sp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FC7F8BA8-289F-96E7-CE11-AC0909AB6B21}"/>
              </a:ext>
            </a:extLst>
          </xdr:cNvPr>
          <xdr:cNvGrpSpPr/>
        </xdr:nvGrpSpPr>
        <xdr:grpSpPr>
          <a:xfrm>
            <a:off x="7448550" y="171450"/>
            <a:ext cx="1676400" cy="914400"/>
            <a:chOff x="409575" y="590550"/>
            <a:chExt cx="1676400" cy="914400"/>
          </a:xfrm>
        </xdr:grpSpPr>
        <xdr:pic macro="[0]!MostrarFormularioReporte">
          <xdr:nvPicPr>
            <xdr:cNvPr id="6" name="Gráfico 5" descr="Matraz">
              <a:extLst>
                <a:ext uri="{FF2B5EF4-FFF2-40B4-BE49-F238E27FC236}">
                  <a16:creationId xmlns:a16="http://schemas.microsoft.com/office/drawing/2014/main" id="{781DD9A2-200D-CB5F-388B-B07E8C9C2F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409575" y="590550"/>
              <a:ext cx="914400" cy="914400"/>
            </a:xfrm>
            <a:prstGeom prst="rect">
              <a:avLst/>
            </a:prstGeom>
            <a:effectLst>
              <a:outerShdw blurRad="76200" dir="13500000" sy="23000" kx="1200000" algn="br" rotWithShape="0">
                <a:prstClr val="black">
                  <a:alpha val="20000"/>
                </a:prstClr>
              </a:outerShdw>
            </a:effectLst>
          </xdr:spPr>
        </xdr:pic>
        <xdr:sp macro="[0]!MostrarFormularioReporte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3DCCAFA8-EFEE-711B-32C8-3DB3A2E1603C}"/>
                </a:ext>
              </a:extLst>
            </xdr:cNvPr>
            <xdr:cNvSpPr txBox="1"/>
          </xdr:nvSpPr>
          <xdr:spPr>
            <a:xfrm>
              <a:off x="1085850" y="866775"/>
              <a:ext cx="1000125" cy="361950"/>
            </a:xfrm>
            <a:prstGeom prst="rect">
              <a:avLst/>
            </a:prstGeom>
            <a:noFill/>
            <a:ln w="9525" cmpd="sng">
              <a:noFill/>
            </a:ln>
            <a:effectLst>
              <a:outerShdw blurRad="76200" dir="13500000" sy="23000" kx="1200000" algn="br" rotWithShape="0">
                <a:prstClr val="black">
                  <a:alpha val="2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000" b="1">
                  <a:ln>
                    <a:noFill/>
                  </a:ln>
                  <a:solidFill>
                    <a:schemeClr val="bg1"/>
                  </a:solidFill>
                </a:rPr>
                <a:t>INICIO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1638300</xdr:colOff>
      <xdr:row>4</xdr:row>
      <xdr:rowOff>171450</xdr:rowOff>
    </xdr:to>
    <xdr:pic>
      <xdr:nvPicPr>
        <xdr:cNvPr id="8" name="Imagen 5">
          <a:extLst>
            <a:ext uri="{FF2B5EF4-FFF2-40B4-BE49-F238E27FC236}">
              <a16:creationId xmlns:a16="http://schemas.microsoft.com/office/drawing/2014/main" id="{EB496185-94D4-4D7C-A16A-9D68902D1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383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0</xdr:col>
      <xdr:colOff>1093259</xdr:colOff>
      <xdr:row>4</xdr:row>
      <xdr:rowOff>178889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B5409A-279A-4EBC-B02C-BE4684988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1093259" cy="9504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152400</xdr:rowOff>
    </xdr:from>
    <xdr:to>
      <xdr:col>0</xdr:col>
      <xdr:colOff>1093259</xdr:colOff>
      <xdr:row>4</xdr:row>
      <xdr:rowOff>178889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B4970C0-2B24-4AEF-814F-7A17A037A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1093259" cy="9504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1127858</xdr:colOff>
      <xdr:row>5</xdr:row>
      <xdr:rowOff>113232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AF90966-28AA-4DD5-BFCF-2D5C683A6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"/>
          <a:ext cx="1127858" cy="9609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1093259</xdr:colOff>
      <xdr:row>5</xdr:row>
      <xdr:rowOff>102689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8EDE787-872F-4125-BDA4-0FA5E3582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9550"/>
          <a:ext cx="1093259" cy="9504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180975</xdr:rowOff>
    </xdr:from>
    <xdr:to>
      <xdr:col>0</xdr:col>
      <xdr:colOff>1102784</xdr:colOff>
      <xdr:row>4</xdr:row>
      <xdr:rowOff>207464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46DF853-C998-46DC-9976-CB7B127C7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80975"/>
          <a:ext cx="1093259" cy="9504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143608</xdr:colOff>
      <xdr:row>0</xdr:row>
      <xdr:rowOff>24833</xdr:rowOff>
    </xdr:from>
    <xdr:to>
      <xdr:col>4</xdr:col>
      <xdr:colOff>194896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0A6E56B-1630-4117-8BF3-33E155CD1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608" y="24833"/>
          <a:ext cx="1308588" cy="880041"/>
        </a:xfrm>
        <a:prstGeom prst="rect">
          <a:avLst/>
        </a:prstGeom>
      </xdr:spPr>
    </xdr:pic>
    <xdr:clientData/>
  </xdr:twoCellAnchor>
  <xdr:twoCellAnchor editAs="oneCell">
    <xdr:from>
      <xdr:col>8</xdr:col>
      <xdr:colOff>180974</xdr:colOff>
      <xdr:row>43</xdr:row>
      <xdr:rowOff>123825</xdr:rowOff>
    </xdr:from>
    <xdr:to>
      <xdr:col>13</xdr:col>
      <xdr:colOff>314324</xdr:colOff>
      <xdr:row>48</xdr:row>
      <xdr:rowOff>128609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FE386A3-4758-4005-92AE-CA8DAF2C39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536"/>
        <a:stretch/>
      </xdr:blipFill>
      <xdr:spPr>
        <a:xfrm>
          <a:off x="2790824" y="8791575"/>
          <a:ext cx="1895475" cy="9572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0</xdr:col>
      <xdr:colOff>1093259</xdr:colOff>
      <xdr:row>4</xdr:row>
      <xdr:rowOff>178889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1CE3841-BA74-4BEC-A9ED-9BA47071D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1093259" cy="9504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152400</xdr:rowOff>
    </xdr:from>
    <xdr:to>
      <xdr:col>0</xdr:col>
      <xdr:colOff>1093259</xdr:colOff>
      <xdr:row>4</xdr:row>
      <xdr:rowOff>178889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195490-E69C-4461-BA63-673B8F3A3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1093259" cy="9504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0</xdr:rowOff>
    </xdr:from>
    <xdr:to>
      <xdr:col>1</xdr:col>
      <xdr:colOff>1369612</xdr:colOff>
      <xdr:row>3</xdr:row>
      <xdr:rowOff>685800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4B7FDD4-4F17-4E74-A6A3-6D77A5A09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0"/>
          <a:ext cx="2512612" cy="1800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304800</xdr:colOff>
      <xdr:row>0</xdr:row>
      <xdr:rowOff>0</xdr:rowOff>
    </xdr:from>
    <xdr:ext cx="2512612" cy="1828800"/>
    <xdr:pic>
      <xdr:nvPicPr>
        <xdr:cNvPr id="3" name="Imagen 2">
          <a:extLst>
            <a:ext uri="{FF2B5EF4-FFF2-40B4-BE49-F238E27FC236}">
              <a16:creationId xmlns:a16="http://schemas.microsoft.com/office/drawing/2014/main" id="{F83196AD-47D4-4E2F-A311-7E4612CCF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2512612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12</xdr:row>
          <xdr:rowOff>161925</xdr:rowOff>
        </xdr:from>
        <xdr:to>
          <xdr:col>24</xdr:col>
          <xdr:colOff>571500</xdr:colOff>
          <xdr:row>16</xdr:row>
          <xdr:rowOff>257175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326B2B6E-5E57-4EA0-8BB5-10390A795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MX" sz="2600" b="0" i="0" u="none" strike="noStrike" baseline="0">
                  <a:solidFill>
                    <a:srgbClr val="000000"/>
                  </a:solidFill>
                  <a:latin typeface="Aptos Narrow"/>
                </a:rPr>
                <a:t> REGRESAR A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228600</xdr:rowOff>
        </xdr:from>
        <xdr:to>
          <xdr:col>24</xdr:col>
          <xdr:colOff>666750</xdr:colOff>
          <xdr:row>24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B0AF9C6B-1D79-4CA6-B8AC-888F88EEF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MX" sz="2600" b="0" i="0" u="none" strike="noStrike" baseline="0">
                  <a:solidFill>
                    <a:srgbClr val="000000"/>
                  </a:solidFill>
                  <a:latin typeface="Aptos Narrow"/>
                </a:rPr>
                <a:t>GUARDAR REMISION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0</xdr:col>
      <xdr:colOff>1093259</xdr:colOff>
      <xdr:row>4</xdr:row>
      <xdr:rowOff>178889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213F02-705D-4BFD-A538-C749FA773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1093259" cy="9504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219075</xdr:rowOff>
        </xdr:from>
        <xdr:to>
          <xdr:col>0</xdr:col>
          <xdr:colOff>923925</xdr:colOff>
          <xdr:row>3</xdr:row>
          <xdr:rowOff>114300</xdr:rowOff>
        </xdr:to>
        <xdr:sp macro="" textlink="">
          <xdr:nvSpPr>
            <xdr:cNvPr id="11265" name="Object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8C954A4-9E95-428C-98FA-69D262193A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127001</xdr:colOff>
      <xdr:row>0</xdr:row>
      <xdr:rowOff>152400</xdr:rowOff>
    </xdr:from>
    <xdr:to>
      <xdr:col>0</xdr:col>
      <xdr:colOff>1220260</xdr:colOff>
      <xdr:row>5</xdr:row>
      <xdr:rowOff>23314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310E003-FA6D-4A16-9EB4-1ACAD0225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1" y="152400"/>
          <a:ext cx="1093259" cy="94723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0</xdr:col>
      <xdr:colOff>1127858</xdr:colOff>
      <xdr:row>4</xdr:row>
      <xdr:rowOff>170382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C7D09B-9A8B-4399-95F0-B1177582D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"/>
          <a:ext cx="1127858" cy="9419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152400</xdr:rowOff>
    </xdr:from>
    <xdr:to>
      <xdr:col>0</xdr:col>
      <xdr:colOff>1093259</xdr:colOff>
      <xdr:row>4</xdr:row>
      <xdr:rowOff>178889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CD3B1A0-9DA7-4C48-8C1F-E39E8FF41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2400"/>
          <a:ext cx="1093259" cy="9504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</xdr:rowOff>
    </xdr:from>
    <xdr:to>
      <xdr:col>0</xdr:col>
      <xdr:colOff>1140884</xdr:colOff>
      <xdr:row>3</xdr:row>
      <xdr:rowOff>121740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F5BC59-338D-4664-916A-FB65284E2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1"/>
          <a:ext cx="1093259" cy="9504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276226</xdr:rowOff>
    </xdr:from>
    <xdr:to>
      <xdr:col>0</xdr:col>
      <xdr:colOff>1131359</xdr:colOff>
      <xdr:row>4</xdr:row>
      <xdr:rowOff>102690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AFD693D-EA49-46A0-B080-1BFCE4190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76226"/>
          <a:ext cx="1093259" cy="9504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142875</xdr:rowOff>
    </xdr:from>
    <xdr:to>
      <xdr:col>0</xdr:col>
      <xdr:colOff>1093259</xdr:colOff>
      <xdr:row>5</xdr:row>
      <xdr:rowOff>36014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34C106E-3ADB-486C-A794-9455CE05A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2875"/>
          <a:ext cx="1093259" cy="95041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0</xdr:col>
      <xdr:colOff>1127858</xdr:colOff>
      <xdr:row>4</xdr:row>
      <xdr:rowOff>65607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2828C9-2F95-4191-97EB-C9F73389B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"/>
          <a:ext cx="1127858" cy="9419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152400</xdr:rowOff>
    </xdr:from>
    <xdr:to>
      <xdr:col>0</xdr:col>
      <xdr:colOff>1093259</xdr:colOff>
      <xdr:row>4</xdr:row>
      <xdr:rowOff>74114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CB7AEC1-76F5-4359-AFBB-03C2538FC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2400"/>
          <a:ext cx="1093259" cy="95041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1127858</xdr:colOff>
      <xdr:row>5</xdr:row>
      <xdr:rowOff>113232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356DBF-2A97-4E96-B09A-F58C31B0A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"/>
          <a:ext cx="1127858" cy="9609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1093259</xdr:colOff>
      <xdr:row>5</xdr:row>
      <xdr:rowOff>102689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4DF7E9B-A5B5-4881-BE4C-5D8CE5EC2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9550"/>
          <a:ext cx="1093259" cy="95041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247650</xdr:rowOff>
    </xdr:from>
    <xdr:to>
      <xdr:col>0</xdr:col>
      <xdr:colOff>876190</xdr:colOff>
      <xdr:row>3</xdr:row>
      <xdr:rowOff>152308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5AF0A0E-42D9-44A5-BE40-BD10CA7C6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7650"/>
          <a:ext cx="876190" cy="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3</xdr:row>
          <xdr:rowOff>152400</xdr:rowOff>
        </xdr:from>
        <xdr:to>
          <xdr:col>9</xdr:col>
          <xdr:colOff>419100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143608</xdr:colOff>
      <xdr:row>0</xdr:row>
      <xdr:rowOff>24833</xdr:rowOff>
    </xdr:from>
    <xdr:to>
      <xdr:col>4</xdr:col>
      <xdr:colOff>194896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F5F02C-CF29-4623-A43F-40F0704B7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608" y="24833"/>
          <a:ext cx="1308588" cy="880041"/>
        </a:xfrm>
        <a:prstGeom prst="rect">
          <a:avLst/>
        </a:prstGeom>
      </xdr:spPr>
    </xdr:pic>
    <xdr:clientData/>
  </xdr:twoCellAnchor>
  <xdr:twoCellAnchor editAs="oneCell">
    <xdr:from>
      <xdr:col>8</xdr:col>
      <xdr:colOff>180974</xdr:colOff>
      <xdr:row>43</xdr:row>
      <xdr:rowOff>123825</xdr:rowOff>
    </xdr:from>
    <xdr:to>
      <xdr:col>13</xdr:col>
      <xdr:colOff>314324</xdr:colOff>
      <xdr:row>48</xdr:row>
      <xdr:rowOff>128609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EA0130E-292D-41CD-AFC4-95A5727974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536"/>
        <a:stretch/>
      </xdr:blipFill>
      <xdr:spPr>
        <a:xfrm>
          <a:off x="2790824" y="8791575"/>
          <a:ext cx="1895475" cy="9572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22.216\Laboratorio\Lab_Fisicoquimico%20formato.xlsm" TargetMode="External"/><Relationship Id="rId1" Type="http://schemas.openxmlformats.org/officeDocument/2006/relationships/externalLinkPath" Target="file:///\\192.168.22.216\Laboratorio\Lab_Fisicoquimico%20forma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Consulta"/>
      <sheetName val="Inventario"/>
      <sheetName val="Calostro"/>
      <sheetName val="Colageno"/>
      <sheetName val="Jarabe_Maiz"/>
      <sheetName val="OLLAS"/>
      <sheetName val="Color"/>
      <sheetName val="Ollas_Sec2"/>
      <sheetName val="Solidos_Mantequilla"/>
      <sheetName val="Suero_Polvo"/>
      <sheetName val="Envasado"/>
      <sheetName val="Liberacion"/>
      <sheetName val="IMPRESION"/>
      <sheetName val="RECIBO"/>
      <sheetName val="Certificado"/>
      <sheetName val="Calderas"/>
      <sheetName val="Queso_Crema"/>
      <sheetName val="Otros"/>
      <sheetName val="imprimir-OLLA SJM"/>
      <sheetName val="imprimir- SJM "/>
    </sheetNames>
    <definedNames>
      <definedName name="IMPRESION"/>
      <definedName name="inicio_Clic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8CF5D19-A073-4E4F-977A-AC8328214399}" name="Tabla612181912" displayName="Tabla612181912" ref="A8:AJ9" insertRow="1" insertRowShift="1" totalsRowShown="0" headerRowDxfId="38" dataDxfId="37" headerRowBorderDxfId="36">
  <tableColumns count="36">
    <tableColumn id="1" xr3:uid="{E250C205-ED9D-482E-A24B-4B14C266FDD2}" name="FECHA" dataDxfId="35"/>
    <tableColumn id="2" xr3:uid="{5E081A24-E9B2-4445-9307-2D6B4CA7788C}" name="HORA SOLICITUD" dataDxfId="34"/>
    <tableColumn id="30" xr3:uid="{F72A95AE-C1A1-47D1-B128-B593601A18BA}" name="HORA ENTREGA" dataDxfId="33"/>
    <tableColumn id="3" xr3:uid="{01980397-DDDA-4DA4-B068-E340497C4FF5}" name="PROCEDENCIA" dataDxfId="32"/>
    <tableColumn id="4" xr3:uid="{707621CC-0351-43A1-930F-31F196E02196}" name="DESTINO" dataDxfId="31"/>
    <tableColumn id="5" xr3:uid="{00E62A1D-7011-47E3-91CA-193AB8DDB58F}" name="PRODUCTO" dataDxfId="30"/>
    <tableColumn id="32" xr3:uid="{4C6AFA68-3FCD-4553-93EC-95E8B266EF1F}" name="AJUSTE" dataDxfId="29"/>
    <tableColumn id="31" xr3:uid="{068C0556-3ABC-47BF-92D3-D29691669707}" name="COMENTARIO" dataDxfId="28"/>
    <tableColumn id="6" xr3:uid="{A9D35F8E-2094-4A5B-985F-9EAB4F43CB98}" name="TICKET" dataDxfId="27"/>
    <tableColumn id="21" xr3:uid="{16B5FF51-FA7B-4D07-B0A6-3E7E3B9A4416}" name="KILOS" dataDxfId="26"/>
    <tableColumn id="27" xr3:uid="{C5CCD020-72CE-4121-9EBC-C51FF23BFE36}" name="TANQUE/PLACAS" dataDxfId="25"/>
    <tableColumn id="26" xr3:uid="{8712499D-89AD-4762-A44D-1783ADC5660A}" name="SELLOS" dataDxfId="24"/>
    <tableColumn id="28" xr3:uid="{2F390BD8-5361-4438-A186-0186BC7D23D1}" name="SELLOS2" dataDxfId="23"/>
    <tableColumn id="7" xr3:uid="{98285891-255E-41C6-88AF-E51A9C4722DB}" name="ANALISTA" dataDxfId="22"/>
    <tableColumn id="8" xr3:uid="{5BBC0424-F656-4922-9281-A878E0E2A487}" name="TEMPERATURA:                      _x000a_ 6 a 7" dataDxfId="21"/>
    <tableColumn id="22" xr3:uid="{988F1B34-A82B-4C04-805D-5AB6AE61F708}" name="ACIDEZ °D:                      _x000a_ 6 a 8" dataDxfId="20"/>
    <tableColumn id="9" xr3:uid="{118BCBF2-BB8B-439F-AF16-C68A42EA9597}" name="% GRASA :      _x000a_ 11 a 19" dataDxfId="19"/>
    <tableColumn id="10" xr3:uid="{64C0B9FA-D14D-41F4-AB6D-5D9A97ADD564}" name="DENSIDAD g/l:  _x000a_ 0 - 9.0" dataDxfId="18"/>
    <tableColumn id="11" xr3:uid="{FEFF5CD3-E96B-4088-8195-9FF6392174F5}" name="INDICE CRIOSCOPO °H:" dataDxfId="17"/>
    <tableColumn id="12" xr3:uid="{437C48EA-304A-4AB4-9F04-9987B06C2F26}" name="% ST" dataDxfId="16"/>
    <tableColumn id="13" xr3:uid="{CDA9B753-69D1-4105-8B68-4739A1A25EAB}" name="% SNG" dataDxfId="15"/>
    <tableColumn id="14" xr3:uid="{8C01E614-462A-4612-8145-3BC704CD7EE2}" name="NEUTRALIZANTES" dataDxfId="14"/>
    <tableColumn id="29" xr3:uid="{3B60F457-E9C0-459E-A6C9-C4799C7FCF42}" name="PBA ALCOHOL 65" dataDxfId="13"/>
    <tableColumn id="15" xr3:uid="{46FBE0B8-0450-4CBA-B4FA-343D9ACFBF43}" name="PBA ALCOHOL 75" dataDxfId="12"/>
    <tableColumn id="16" xr3:uid="{4FAD1AF7-8265-4207-B314-D5C650AB82FB}" name="HUMEDAD %" dataDxfId="11"/>
    <tableColumn id="17" xr3:uid="{73A38A87-ED85-4CE4-AE2D-ABD9003B7875}" name="ANTIBIOTICOS" dataDxfId="10"/>
    <tableColumn id="18" xr3:uid="{30C098DF-E119-4DFD-B529-4839A249722C}" name="pH" dataDxfId="9"/>
    <tableColumn id="19" xr3:uid="{FFBAE0C0-7AA2-408D-A92D-F35A00FB8422}" name="CLORUROS" dataDxfId="8"/>
    <tableColumn id="20" xr3:uid="{99EBB515-8CA3-4056-9BDE-301508DAE7EC}" name="PBA CLORO" dataDxfId="7"/>
    <tableColumn id="36" xr3:uid="{D1599E52-1F7E-484F-B956-54E4788A195C}" name="%PROTEINA" dataDxfId="6"/>
    <tableColumn id="23" xr3:uid="{734818B2-F305-4A5C-B0C0-DC87E45F2ABD}" name="SABOR" dataDxfId="5"/>
    <tableColumn id="24" xr3:uid="{830AB7EF-4270-4957-8059-396A291E29DB}" name="COLOR" dataDxfId="4"/>
    <tableColumn id="25" xr3:uid="{38F3C597-8944-4961-B3FF-173D8FBA7342}" name="AROMA" dataDxfId="3"/>
    <tableColumn id="33" xr3:uid="{456E05B3-40BE-432A-94AA-13EEAEFF6AC5}" name="COMENTARIO2" dataDxfId="2"/>
    <tableColumn id="34" xr3:uid="{A61B2005-96C7-4852-AFB0-1DE963C7AD5F}" name="COMENT COLOR" dataDxfId="1"/>
    <tableColumn id="35" xr3:uid="{BA681FAD-0C70-405D-AB1A-920555A9AF06}" name="COMENT OLOR" dataDxfId="0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B4BD4A-7C54-4737-9BA8-398191C42C28}" name="resumencolageno17" displayName="resumencolageno17" ref="A8:R9" insertRow="1" insertRowShift="1" totalsRowShown="0" headerRowDxfId="60" dataDxfId="59" headerRowBorderDxfId="57" tableBorderDxfId="58">
  <tableColumns count="18">
    <tableColumn id="1" xr3:uid="{5C38379C-65BB-48C4-9298-D0E264B2C991}" name="FECHA" dataDxfId="56"/>
    <tableColumn id="2" xr3:uid="{CB21539C-707C-448C-9F56-FCD44BD5E63E}" name="HORA" dataDxfId="55"/>
    <tableColumn id="3" xr3:uid="{E8A2BDC1-1FA9-4009-A99E-6AA1D9F98FA7}" name="PRODUCTO" dataDxfId="54"/>
    <tableColumn id="4" xr3:uid="{728CBD66-B2B4-4AC0-8622-7E6E10A17D2E}" name="AREA" dataDxfId="53"/>
    <tableColumn id="5" xr3:uid="{BC792396-C1F6-4D38-94BA-8F59001E9516}" name="LOTE" dataDxfId="52"/>
    <tableColumn id="6" xr3:uid="{5661AABB-9E00-459A-ACA5-7950F3A96093}" name="ANALISTA" dataDxfId="51"/>
    <tableColumn id="8" xr3:uid="{B49E0301-7520-4EFC-84C3-7338A33044FE}" name="pH_x000a_5.2 - 5.4" dataDxfId="50"/>
    <tableColumn id="9" xr3:uid="{DC9A1DEE-7D55-4B13-AAB2-48D95E54DAC9}" name="% HUMEDAD_x000a_39-42 " dataDxfId="49"/>
    <tableColumn id="10" xr3:uid="{2C1080F5-D858-458E-BD46-CAA6FF1DD709}" name="% Grasa_x000a_42 - 46" dataDxfId="48"/>
    <tableColumn id="11" xr3:uid="{21A232F6-97E3-4831-A3FD-FA6DB01F482C}" name="% Cloruros_x000a_0.9 - 1.5" dataDxfId="47"/>
    <tableColumn id="19" xr3:uid="{5C6BCDA4-8BF6-45D6-8A5F-80E6346FAECE}" name="% Proteina_x000a_" dataDxfId="46"/>
    <tableColumn id="18" xr3:uid="{0AC2207C-C3C9-4181-A0CE-69ADA50329EB}" name="Funcionales" dataDxfId="45"/>
    <tableColumn id="12" xr3:uid="{12D477BD-615F-4191-9C42-3F64AF35078F}" name="COLOR" dataDxfId="44"/>
    <tableColumn id="13" xr3:uid="{8443F55B-3C2E-4876-B11B-335D5EB5FB7C}" name="SABOR" dataDxfId="43"/>
    <tableColumn id="14" xr3:uid="{5DD7B054-BA96-47B4-80C6-B975E65DD7F9}" name="OLOR" dataDxfId="42"/>
    <tableColumn id="15" xr3:uid="{E260A77A-0FD6-45D8-A909-3AF068BE967F}" name="COMENTARIOS" dataDxfId="41"/>
    <tableColumn id="16" xr3:uid="{705A46E1-6925-4E1E-A9C6-E6AB572E443C}" name="COMENTARIOS2" dataDxfId="40"/>
    <tableColumn id="17" xr3:uid="{42D6DA1A-15F4-47A9-9A35-140BF281E467}" name="COMENTARIOS3" dataDxfId="39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0DCCD35-2B8F-41AC-A584-EE9F46A5C36E}" name="Calderas" displayName="Calderas" ref="A8:Q9" insertRow="1" totalsRowShown="0" headerRowDxfId="80" dataDxfId="79" headerRowBorderDxfId="78">
  <tableColumns count="17">
    <tableColumn id="1" xr3:uid="{ABD6E4D7-5A7D-4287-82D8-9FD5FBE8F382}" name="FECHA" dataDxfId="77"/>
    <tableColumn id="2" xr3:uid="{90A5C58F-534D-4767-8D17-98CD45B7F948}" name="HORA" dataDxfId="76"/>
    <tableColumn id="3" xr3:uid="{84F587D0-44AD-4746-8CA0-B9FB68CD0213}" name="TIPO" dataDxfId="75"/>
    <tableColumn id="4" xr3:uid="{073A438E-6CEF-4B92-B8EA-40EA33312FD5}" name="AREA" dataDxfId="74"/>
    <tableColumn id="5" xr3:uid="{576D77AA-A9AC-46E7-BD81-4B79E745AF95}" name="ANALISTA" dataDxfId="73"/>
    <tableColumn id="7" xr3:uid="{9351065A-C8B6-4D1F-915D-8C0AED35986E}" name="EQUIPO" dataDxfId="72"/>
    <tableColumn id="8" xr3:uid="{45B7A9DC-4455-4A6C-A581-BF0BA3D6F1AD}" name="TEMP °C:                      " dataDxfId="71"/>
    <tableColumn id="22" xr3:uid="{96E05C48-B14C-409C-B4D2-C8E730D462CF}" name="Alc.Fenolft.ppm: _x000a_250-600" dataDxfId="70"/>
    <tableColumn id="9" xr3:uid="{213A0F60-B50D-4DC8-906E-142185503920}" name="Alc.Total ppm: _x000a_400-900" dataDxfId="69"/>
    <tableColumn id="10" xr3:uid="{B6560C3E-16DF-483F-9539-440B7CDDF271}" name="Cloruros ppm: _x000a_150 MAX" dataDxfId="68"/>
    <tableColumn id="11" xr3:uid="{9AAFA498-8D64-43ED-9A2E-81F93B3EFF18}" name="pH:_x000a_ 10.5-11.5" dataDxfId="67"/>
    <tableColumn id="12" xr3:uid="{3E6C3B46-9C6F-4D8C-A918-18B9FC9BF90F}" name="Dureza ppm: _x000a_0" dataDxfId="66"/>
    <tableColumn id="13" xr3:uid="{8B697C1C-0C2D-42CE-98E0-D41F08234CED}" name="% ST:_x000a_1- 3 ppt (g/l)" dataDxfId="65"/>
    <tableColumn id="14" xr3:uid="{94A9E381-33C5-48C2-A97A-8221CDE2E5F0}" name="Sulfitos ppm:_x000a_10 a 20" dataDxfId="64"/>
    <tableColumn id="6" xr3:uid="{BD2E3903-29B1-471A-905C-AE4F514BAE78}" name="Conductividad:_x000a_Max: 300" dataDxfId="63"/>
    <tableColumn id="15" xr3:uid="{4E72008F-354B-41A4-B0B7-87E662E695AA}" name="Cloro Libre:_x000a_0.2 - 1.5 mg/L" dataDxfId="62"/>
    <tableColumn id="16" xr3:uid="{8A2921DB-6405-4306-A9BE-E564341DC547}" name="Comentarios" dataDxfId="61"/>
  </tableColumns>
  <tableStyleInfo name="TableStyleMedium2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9FE884-4B37-46A4-BB3B-5FD83F9E63F5}" name="Tabla6121819" displayName="Tabla6121819" ref="A8:AF9" insertRowShift="1" totalsRowShown="0" headerRowDxfId="115" dataDxfId="114" headerRowBorderDxfId="113">
  <tableColumns count="32">
    <tableColumn id="1" xr3:uid="{B6A10903-5D44-438C-B668-024AFDC9FEA0}" name="FECHA" dataDxfId="112"/>
    <tableColumn id="2" xr3:uid="{A110562F-E323-4D04-91D7-EB6532D85146}" name="HORA" dataDxfId="111"/>
    <tableColumn id="3" xr3:uid="{6543AE6D-F813-44B5-BD74-2ADC2695A2BA}" name="PROCEDENCIA" dataDxfId="110"/>
    <tableColumn id="4" xr3:uid="{5AACF08F-3736-4598-87D2-025B551A583A}" name="DESTINO" dataDxfId="109"/>
    <tableColumn id="5" xr3:uid="{A1D7FBB8-26DA-4644-AE29-D5D0FCBD7546}" name="PRODUCTO" dataDxfId="108"/>
    <tableColumn id="6" xr3:uid="{8BE57E27-4FD5-43CB-B491-868E7029D106}" name="TICKET" dataDxfId="107"/>
    <tableColumn id="21" xr3:uid="{286D1D64-1392-44C9-B65C-3C3DFC775326}" name="KILOS" dataDxfId="106"/>
    <tableColumn id="27" xr3:uid="{D900E1DA-09EE-40C8-BBA2-0B528864F76D}" name="TANQUE/PLACAS" dataDxfId="105"/>
    <tableColumn id="26" xr3:uid="{A965D455-70D3-4922-9D26-6BC7888433DE}" name="SELLOS" dataDxfId="104"/>
    <tableColumn id="28" xr3:uid="{E79A77CD-617D-42FB-A1D3-C55BA8A15424}" name="SELLOS2" dataDxfId="103"/>
    <tableColumn id="7" xr3:uid="{E34A0D47-5979-4EE5-917C-3190B6A0204F}" name="ANALISTA" dataDxfId="102"/>
    <tableColumn id="8" xr3:uid="{300128A6-BDEB-4756-B17C-CCE60864D06E}" name="TEMPERATURA:                      _x000a_ 6 a 7" dataDxfId="101"/>
    <tableColumn id="22" xr3:uid="{DA2499D7-E96B-4986-92B3-55B966027CDA}" name="ACIDEZ °D:                      _x000a_ 6 a 8" dataDxfId="100"/>
    <tableColumn id="9" xr3:uid="{19811C74-6F75-48FD-9F70-5C8700A21C40}" name="% GRASA :      _x000a_ 11 a 19" dataDxfId="99"/>
    <tableColumn id="10" xr3:uid="{BD3038B8-9941-49EB-97AD-7E720981EAC2}" name="DENSIDAD g/l:  _x000a_ 0 - 9.0" dataDxfId="98"/>
    <tableColumn id="11" xr3:uid="{17E14EB6-F700-46E7-9F95-DA06A6BC9306}" name="INDICE CRIOSCOPO °H:" dataDxfId="97"/>
    <tableColumn id="12" xr3:uid="{773CD616-FA1C-4BF5-835B-D300AD493F77}" name="% ST" dataDxfId="96"/>
    <tableColumn id="13" xr3:uid="{A34A3662-D9B1-40AF-9BA1-9FC1EB2F5C79}" name="% SNG" dataDxfId="95"/>
    <tableColumn id="14" xr3:uid="{97F5F31A-E595-4E66-A109-55A158C3773E}" name="NEUTRALIZANTES" dataDxfId="94"/>
    <tableColumn id="29" xr3:uid="{DDC2F695-BE19-4DCC-A5D3-F24FE0FC6FBC}" name="PBA ALCOHOL 65" dataDxfId="93"/>
    <tableColumn id="15" xr3:uid="{E2EB74AD-8F93-4DF1-924E-35153BC42F94}" name="PBA ALCOHOL 75" dataDxfId="92"/>
    <tableColumn id="16" xr3:uid="{0C961B04-B5EF-4FB3-A174-C648E25EF242}" name="PROTEINA" dataDxfId="91"/>
    <tableColumn id="17" xr3:uid="{A0BA6C19-44D8-40FA-BF38-8D6E38257BF5}" name="ANTIBIOTICOS" dataDxfId="90"/>
    <tableColumn id="18" xr3:uid="{66C6A621-F669-4AFD-BD61-E0825B50FBC4}" name="pH" dataDxfId="89"/>
    <tableColumn id="19" xr3:uid="{BD8F867A-9FEF-4B4F-827C-0276BB3684E8}" name="CLORUROS" dataDxfId="88"/>
    <tableColumn id="20" xr3:uid="{30BB0204-9850-4A76-86BB-BEBF44FA91AA}" name="PBA CLORO" dataDxfId="87"/>
    <tableColumn id="23" xr3:uid="{26000ECA-48E2-4E75-990C-178DA866D26A}" name="AROMA" dataDxfId="86"/>
    <tableColumn id="24" xr3:uid="{D05D828E-83D8-479C-8FBD-18E83696F0E2}" name="COLOR" dataDxfId="85"/>
    <tableColumn id="25" xr3:uid="{2C05A644-32C2-4FEE-A923-3AA7C21BAB75}" name="OTROS PROTEINA" dataDxfId="84"/>
    <tableColumn id="30" xr3:uid="{78A17879-F76B-4FB4-9A66-87713A653349}" name="Columna1" dataDxfId="83"/>
    <tableColumn id="31" xr3:uid="{5B2383D3-1213-46E4-B736-EFB05AF548E6}" name="Columna2" dataDxfId="82"/>
    <tableColumn id="32" xr3:uid="{AD7722B1-FFE3-487C-97FA-ACC28A564F84}" name="Columna3" dataDxfId="81"/>
  </tableColumns>
  <tableStyleInfo name="TableStyleMedium2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6D2160D-D479-420A-852D-51CC3474BA0E}" name="Tabla61218" displayName="Tabla61218" ref="A8:AG9" insertRow="1" insertRowShift="1" totalsRowShown="0" headerRowDxfId="154" dataDxfId="153" headerRowBorderDxfId="152">
  <tableColumns count="33">
    <tableColumn id="1" xr3:uid="{71BC1B97-1954-447B-9131-81C19A7E9EC5}" name="FECHA" dataDxfId="151"/>
    <tableColumn id="2" xr3:uid="{86FA82B2-EAC3-42E9-8DFA-D3325E32F9DC}" name="HORA" dataDxfId="150"/>
    <tableColumn id="3" xr3:uid="{9DC5A334-62FE-4BBA-862B-97285D7BCE4D}" name="PROCEDENCIA" dataDxfId="149"/>
    <tableColumn id="4" xr3:uid="{9027EF7A-327E-4512-AE9A-5A0433DE1B4D}" name="DESTINO" dataDxfId="148"/>
    <tableColumn id="5" xr3:uid="{37288783-7C0C-48E8-A7B8-584376AF30FC}" name="PRODUCTO" dataDxfId="147"/>
    <tableColumn id="6" xr3:uid="{29DBBC0F-9A2A-4597-87C4-D4EF1493E86B}" name="TICKET" dataDxfId="146"/>
    <tableColumn id="21" xr3:uid="{72FEBC41-3DFB-4277-9585-564E072EE813}" name="KILOS" dataDxfId="145"/>
    <tableColumn id="27" xr3:uid="{C53E9AEE-7016-40B3-931E-F36C36D44430}" name="TANQUE/PLACAS" dataDxfId="144"/>
    <tableColumn id="26" xr3:uid="{4E7DEA41-A268-4F0C-BF42-743F2100F4F4}" name="SELLOS" dataDxfId="143"/>
    <tableColumn id="28" xr3:uid="{403F4F4F-5B07-4510-941B-4D285FDA5D27}" name="SELLOS2" dataDxfId="142"/>
    <tableColumn id="7" xr3:uid="{98173146-A476-4E14-9A5D-381B8735B95F}" name="ANALISTA" dataDxfId="141"/>
    <tableColumn id="8" xr3:uid="{5E659929-B1E4-49F1-9E2D-86906C7A838C}" name="TEMPERATURA:                      _x000a_ 6 a 7" dataDxfId="140"/>
    <tableColumn id="22" xr3:uid="{E54B2B5E-10C5-4E2D-85EF-428148B57A61}" name="ACIDEZ °D:                      _x000a_ 6 a 8" dataDxfId="139"/>
    <tableColumn id="9" xr3:uid="{0703DF40-C7F5-45F4-AC8E-42F76E82F43E}" name="% GRASA :      _x000a_ 11 a 19" dataDxfId="138"/>
    <tableColumn id="10" xr3:uid="{783F066F-C5F1-4BD6-BD25-B6F04BD34128}" name="DENSIDAD g/l:  _x000a_ 0 - 9.0" dataDxfId="137"/>
    <tableColumn id="11" xr3:uid="{AC4FB78E-7353-4E71-A7FC-C62DAA5CF6C2}" name="INDICE CRIOSCOPO °H:" dataDxfId="136"/>
    <tableColumn id="12" xr3:uid="{79773010-FEBA-49E4-9068-70C94E85407C}" name="% ST" dataDxfId="135"/>
    <tableColumn id="13" xr3:uid="{C90A9E2C-0835-40D8-A5BB-D9DFE6503E95}" name="% SNG" dataDxfId="134"/>
    <tableColumn id="30" xr3:uid="{022E92D1-D568-4D08-8E47-CC3963CCD2EA}" name="%PROTEINA" dataDxfId="133"/>
    <tableColumn id="14" xr3:uid="{A31FFA2C-5875-4DEB-8FCA-B0BA0ABD4F6E}" name="NEUTRALIZANTES" dataDxfId="132"/>
    <tableColumn id="29" xr3:uid="{13FFC116-A791-4098-B59D-919D6069B527}" name="PBA ALCOHOL 65" dataDxfId="131"/>
    <tableColumn id="15" xr3:uid="{1864387E-EB0F-41F7-8CF2-8E7077DAFF3C}" name="PBA ALCOHOL 75" dataDxfId="130"/>
    <tableColumn id="16" xr3:uid="{A7CCCCD7-3786-4467-B25C-219C8F568977}" name="HUMEDAD %" dataDxfId="129"/>
    <tableColumn id="17" xr3:uid="{E4871E88-6CB4-431A-9B00-4E40499F6C25}" name="ANTIBIOTICOS" dataDxfId="128"/>
    <tableColumn id="18" xr3:uid="{F716F712-30AE-4C8A-AABD-FA48BA1733ED}" name="pH" dataDxfId="127"/>
    <tableColumn id="19" xr3:uid="{A06B890A-E232-4264-918E-71E5F5B85987}" name="CLORUROS" dataDxfId="126"/>
    <tableColumn id="20" xr3:uid="{E39C7CFA-C3AE-4A73-8005-6B4318AA1E64}" name="PBA CLORO" dataDxfId="125"/>
    <tableColumn id="23" xr3:uid="{AD098E38-D0F5-4FB7-B67D-66E6B5A5BCB9}" name="AROMA" dataDxfId="124"/>
    <tableColumn id="24" xr3:uid="{7D2E45ED-A4A9-453C-9701-7521F65D1C3B}" name="COLOR" dataDxfId="123"/>
    <tableColumn id="25" xr3:uid="{88748653-D7C0-4F28-A22C-697F301F6E56}" name="OTROS PROTEINA" dataDxfId="122"/>
    <tableColumn id="31" xr3:uid="{47D53021-4059-4D41-BDDB-074F6A6964BB}" name="Columna1" dataDxfId="121"/>
    <tableColumn id="32" xr3:uid="{EB5ACD00-1B37-4642-9C6F-D6AB60E3B787}" name="Columna2" dataDxfId="120"/>
    <tableColumn id="33" xr3:uid="{62DFDF9F-60E1-4C5C-8F71-9968F3A746A5}" name="Columna3" dataDxfId="119"/>
  </tableColumns>
  <tableStyleInfo name="TableStyleMedium2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DF3882-D762-4420-8F64-C43731F26ED5}" name="Envasado" displayName="Envasado" ref="A8:S16" totalsRowShown="0" headerRowDxfId="178" dataDxfId="177" headerRowBorderDxfId="175" tableBorderDxfId="176" totalsRowBorderDxfId="174">
  <tableColumns count="19">
    <tableColumn id="1" xr3:uid="{4F8D3A5B-2E2B-4CCF-83BA-E487E9C83CC6}" name="FECHA" dataDxfId="173"/>
    <tableColumn id="2" xr3:uid="{7E09F4BB-8063-45E5-AEBA-CD4043AEC8F1}" name="HORA" dataDxfId="172"/>
    <tableColumn id="3" xr3:uid="{D43F3F63-F651-4A8C-A0C6-E2C6ECC617C1}" name="PRODUCTO" dataDxfId="171"/>
    <tableColumn id="4" xr3:uid="{28AD0FB9-71D3-49D2-B265-618A6454E3F1}" name="AREA" dataDxfId="170"/>
    <tableColumn id="5" xr3:uid="{6AFB6594-0400-42D1-934C-4858C5A3EA00}" name="LOTE" dataDxfId="169"/>
    <tableColumn id="6" xr3:uid="{D0A65666-0A36-449E-B787-04CA0C7F1499}" name="ANALISTA" dataDxfId="168"/>
    <tableColumn id="7" xr3:uid="{92A5D90B-3B59-45A2-AAC4-1D6B774CCAAF}" name="TARIMA" dataDxfId="167"/>
    <tableColumn id="8" xr3:uid="{169C43B9-A2E2-4F31-B741-439EFCB16C55}" name="PH" dataDxfId="166"/>
    <tableColumn id="9" xr3:uid="{2BE300A2-25FA-494F-A696-3399634146D1}" name="ACIDEZ" dataDxfId="165"/>
    <tableColumn id="10" xr3:uid="{99714C57-1509-487F-ABAC-BA78C6070906}" name="GRASA_x000a_MIN 18%" dataDxfId="164"/>
    <tableColumn id="11" xr3:uid="{8B693BF8-BF20-485D-AF04-CDB053C83E7A}" name="HUMEDAD Max 6 % " dataDxfId="163"/>
    <tableColumn id="12" xr3:uid="{F4A94CDA-C02C-47B3-B859-FB6E920BDD32}" name="BARRIDO   Max 5 ptos" dataDxfId="162"/>
    <tableColumn id="13" xr3:uid="{3211418E-89F9-43C6-B137-E21AFCA98C9F}" name="DISCO              Max B" dataDxfId="161"/>
    <tableColumn id="14" xr3:uid="{23DCB36A-744B-4403-8981-78AD2E02F479}" name="COLOR            Lig. Amarillo - Amarillo" dataDxfId="160"/>
    <tableColumn id="15" xr3:uid="{C4F31AF8-DFE5-4570-BB80-440E548E2189}" name="SABOR:             Característico Lácteo, sin sabores extraños" dataDxfId="159"/>
    <tableColumn id="16" xr3:uid="{522F4473-B963-46E4-8832-987EC7447AEF}" name="OLOR:                Característico Lácteo, sin olores extraños" dataDxfId="158"/>
    <tableColumn id="18" xr3:uid="{29AD838A-B313-4BB6-B27D-1EF963F79631}" name="COMENTARIOS" dataDxfId="157"/>
    <tableColumn id="19" xr3:uid="{DEB0F6B2-B2C2-4674-BDE3-F3208062330C}" name="COMENTARIOS2" dataDxfId="156"/>
    <tableColumn id="20" xr3:uid="{58470527-5E08-4AD9-A571-5C2F0FA31FB4}" name="COMENTARIOS3" dataDxfId="155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2CF420-509D-4F5B-B9FA-3E8AC826C7E8}" name="Suero" displayName="Suero" ref="A8:V9" insertRow="1" insertRowShift="1" totalsRowShown="0" headerRowDxfId="203" dataDxfId="202" headerRowBorderDxfId="201">
  <tableColumns count="22">
    <tableColumn id="1" xr3:uid="{2AB7192D-FE8B-44F0-875B-1964570C53F6}" name="FECHA" dataDxfId="200"/>
    <tableColumn id="2" xr3:uid="{D6B7347D-7FB3-424D-B7E4-F4C0C2120105}" name="HORA" dataDxfId="199"/>
    <tableColumn id="3" xr3:uid="{71DFDA66-3213-401E-A0D2-8D6540EA9A91}" name="TIPO" dataDxfId="198"/>
    <tableColumn id="4" xr3:uid="{5BBB9B0C-EE20-43B0-8D0E-D7106016CA15}" name="AREA" dataDxfId="197"/>
    <tableColumn id="5" xr3:uid="{B555E8FE-96E4-4B60-8CE3-6ECB4CD75919}" name="LOTE" dataDxfId="196"/>
    <tableColumn id="6" xr3:uid="{D3D4905B-1BA9-4D13-B808-FF057B50482E}" name="ANALISTA" dataDxfId="195"/>
    <tableColumn id="7" xr3:uid="{A2B7D4C9-2723-4D13-A936-C0BBFA6121DF}" name="SACO" dataDxfId="194"/>
    <tableColumn id="8" xr3:uid="{7C51B61E-F59E-4265-B6F2-020B0B4D8752}" name="pH:                     _x000a_5.8 - 6.6" dataDxfId="193"/>
    <tableColumn id="9" xr3:uid="{0104D0F0-889C-4C91-8ACF-C4CFAB76F31E}" name="Acidez °D:       _x000a_8 a 16" dataDxfId="192"/>
    <tableColumn id="10" xr3:uid="{932EB7B8-57E0-448A-8433-749DD2FFCA4D}" name="% GRASA:   _x000a_0.5 - 3.0" dataDxfId="191"/>
    <tableColumn id="11" xr3:uid="{F743205D-2591-4A47-9313-8608480F2A01}" name="HUMEDAD _x000a_Max 4 % " dataDxfId="190"/>
    <tableColumn id="12" xr3:uid="{3F74E2A8-B0FE-4817-BD5C-4B9A59607703}" name="BARRIDO   _x000a_Max 5 ptos" dataDxfId="189"/>
    <tableColumn id="13" xr3:uid="{DB44D5A6-E4B3-43F0-8E89-F611121F9601}" name="DISCO              _x000a_Max B" dataDxfId="188"/>
    <tableColumn id="14" xr3:uid="{802F235F-7AC4-4F1B-BD2E-FE26CC0B4F3E}" name="%PROTEINA:        _x000a_9 Min" dataDxfId="187"/>
    <tableColumn id="15" xr3:uid="{3B9139D3-0801-499C-8400-6376280F0A62}" name="% Cloruros              _x000a_Na CI a 2% (BH)  Max 4" dataDxfId="186"/>
    <tableColumn id="16" xr3:uid="{F56CD9BE-0885-4971-B190-9B7459D0FA33}" name="% Cenizas    _x000a_Max 12" dataDxfId="185"/>
    <tableColumn id="17" xr3:uid="{F764D5A1-7042-4A79-BACC-7999B7309DA2}" name="COLOR  _x000a_De blanco a crema" dataDxfId="184"/>
    <tableColumn id="18" xr3:uid="{65AC28A3-6CAF-4738-804F-F8F6B97E4648}" name="SABOR:             _x000a_Característico Lácteo, sin sabores extraños" dataDxfId="183"/>
    <tableColumn id="19" xr3:uid="{2D608859-4307-4740-BE31-6213FEB88AC8}" name="OLOR:                _x000a_Característico Lácteo, sin olores extraños" dataDxfId="182"/>
    <tableColumn id="20" xr3:uid="{EFD12F4B-5AB2-4089-AA5C-B0F99767C77E}" name="COMENTARIOS" dataDxfId="181"/>
    <tableColumn id="21" xr3:uid="{BFADE682-6337-458B-8BFC-D7ABEBDBDD8E}" name="COMENTARIOS2" dataDxfId="180"/>
    <tableColumn id="22" xr3:uid="{87FFEDA2-E727-4913-B6C3-76990E57733E}" name="COMENTARIOS3" dataDxfId="179"/>
  </tableColumns>
  <tableStyleInfo name="TableStyleMedium2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E8FC34-F096-4A45-87E3-9300931CFA93}" name="SolidosMantequilla" displayName="SolidosMantequilla" ref="A8:T9" insertRow="1" insertRowShift="1" totalsRowShown="0" headerRowDxfId="226" dataDxfId="225" headerRowBorderDxfId="224">
  <tableColumns count="20">
    <tableColumn id="1" xr3:uid="{57AD8B03-517F-4DB5-8FC9-874AC501B9CF}" name="FECHA" dataDxfId="223"/>
    <tableColumn id="2" xr3:uid="{D6699EE5-8911-4CB5-B54F-84CD2D823F41}" name="HORA" dataDxfId="222"/>
    <tableColumn id="3" xr3:uid="{6333BEDE-EF70-413B-92E4-2626BA542C03}" name="TIPO" dataDxfId="221"/>
    <tableColumn id="4" xr3:uid="{51C679CF-57A6-4492-ACBB-8F832C804B5E}" name="AREA" dataDxfId="220"/>
    <tableColumn id="5" xr3:uid="{D549F63B-AD62-4893-897B-4808C44E505E}" name="LOTE" dataDxfId="219"/>
    <tableColumn id="6" xr3:uid="{18482D3A-C32D-4A12-A983-31FAC46CD7C0}" name="ANALISTA" dataDxfId="218"/>
    <tableColumn id="7" xr3:uid="{0C505DDA-78F1-4896-854C-F26E5AA39521}" name="SACO" dataDxfId="217"/>
    <tableColumn id="8" xr3:uid="{CEA498C6-E69F-4A2C-B81F-934AF51F2956}" name="pH:                       6 a 7" dataDxfId="216"/>
    <tableColumn id="9" xr3:uid="{20E30C4D-D8D4-4F75-B125-B758464FAC9F}" name="Acidez °D:       11 a 19" dataDxfId="215"/>
    <tableColumn id="10" xr3:uid="{983E5683-17BB-469C-A097-4782337ED3B4}" name="% GRASA:   0 - 9.0" dataDxfId="214"/>
    <tableColumn id="11" xr3:uid="{42F37C02-D4CF-4242-A0CA-BB8CA98A522C}" name="HUMEDAD Max 5 % " dataDxfId="213"/>
    <tableColumn id="12" xr3:uid="{D50AC98F-F9D7-44D0-BC18-A00FEACC4DB7}" name="BARRIDO   Max 5 ptos" dataDxfId="212"/>
    <tableColumn id="13" xr3:uid="{0D377242-1813-44BC-BC36-EBBB20CB1D72}" name="DISCO              Max B" dataDxfId="211"/>
    <tableColumn id="14" xr3:uid="{18FA910D-3DAB-4F93-A878-1B1B0B772D4E}" name="%PROTEINA:        28 Min" dataDxfId="210"/>
    <tableColumn id="15" xr3:uid="{5BA94B96-8D6E-4DCE-AD5A-04F9EBDAE148}" name="COLOR            Lig. Amarillo - Amarillo" dataDxfId="209"/>
    <tableColumn id="16" xr3:uid="{C0B6F76E-129C-4331-A32D-169671C08F90}" name="SABOR:             Característico Lácteo, sin sabores extraños" dataDxfId="208"/>
    <tableColumn id="17" xr3:uid="{CD3D799A-A6DE-48C3-97D7-5DAC9CA4FF27}" name="OLOR:                Característico Lácteo, sin olores extraños" dataDxfId="207"/>
    <tableColumn id="18" xr3:uid="{41BDEED8-17E0-4015-B805-A99163AF7E31}" name="COMENTARIOS" dataDxfId="206"/>
    <tableColumn id="19" xr3:uid="{1001C5F1-0602-4953-B4C3-5DAEA288626F}" name="COMENTARIOS2" dataDxfId="205"/>
    <tableColumn id="20" xr3:uid="{B6626595-E935-47CD-B041-DABF62DC8370}" name="COMENTARIOS3" dataDxfId="204"/>
  </tableColumns>
  <tableStyleInfo name="TableStyleMedium2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9B82C7-2AA3-47E8-AA43-9AA14989C9E4}" name="ollasecador2" displayName="ollasecador2" ref="A8:R16" totalsRowShown="0" headerRowDxfId="249" dataDxfId="248" headerRowBorderDxfId="246" tableBorderDxfId="247" totalsRowBorderDxfId="245">
  <tableColumns count="18">
    <tableColumn id="1" xr3:uid="{F93F5CEB-7795-475B-8AEB-6AABEEEAB572}" name="FECHA" dataDxfId="244"/>
    <tableColumn id="2" xr3:uid="{A1D44B93-D2DF-4580-8CAE-D603D5E2F64E}" name="HORA" dataDxfId="243"/>
    <tableColumn id="3" xr3:uid="{3C6A7110-AFB1-4DEC-A621-C7A067662242}" name="PRODUCTO" dataDxfId="242"/>
    <tableColumn id="4" xr3:uid="{7C7E572B-8F5B-48D8-8980-110A7D2C739F}" name="AREA" dataDxfId="241"/>
    <tableColumn id="5" xr3:uid="{1928A4D0-276F-4937-97C4-ED975B18E7FA}" name="LOTE" dataDxfId="240"/>
    <tableColumn id="6" xr3:uid="{9D916AF1-CAB9-4EF6-A480-0D3B2991A65B}" name="ANALISTA" dataDxfId="239"/>
    <tableColumn id="7" xr3:uid="{91C75F12-1937-4C35-B80E-76E0D4E9897C}" name="SACO" dataDxfId="238"/>
    <tableColumn id="8" xr3:uid="{E2249584-0680-40CC-B494-909831E6D3C6}" name="pH (1% p/v): _x000a_ COLOR 1: 4.8 - 5.2_x000a_ COLOR 2: 3.0 - 4.0" dataDxfId="237"/>
    <tableColumn id="9" xr3:uid="{E9126E85-D8F2-4408-B192-C7C79B9E882E}" name="HUMEDAD Max 5 % " dataDxfId="236"/>
    <tableColumn id="13" xr3:uid="{81F5B870-AEE9-45DF-8F45-0EBAE22E9B23}" name="ST 25°C_x000a_ 47 - 51" dataDxfId="235"/>
    <tableColumn id="10" xr3:uid="{BA33C9A0-B96C-483A-9675-38A9204895F7}" name="IMPUREZAS: _x000a_3.0 g/350 ml." dataDxfId="234"/>
    <tableColumn id="11" xr3:uid="{5C0F560A-204D-4F52-B337-4C51FED7F33D}" name="DISCO              Max B" dataDxfId="233"/>
    <tableColumn id="14" xr3:uid="{9A24B402-9F47-4F63-B461-156364C1A707}" name="COLOR:          NEGRO" dataDxfId="232"/>
    <tableColumn id="15" xr3:uid="{A689655A-2E38-44CB-BE37-A5B2E6D8570F}" name="APARIENCIA: _x000a_POLVO FINO" dataDxfId="231"/>
    <tableColumn id="16" xr3:uid="{86D9862C-3B97-4A6C-BA11-AD02C77A5B04}" name="MATERIA EXTRAÑA: _x000a_LIBRE" dataDxfId="230"/>
    <tableColumn id="18" xr3:uid="{DD072806-8724-4795-B252-1CF7B9255CDB}" name="COMENTARIOS" dataDxfId="229"/>
    <tableColumn id="19" xr3:uid="{D0062B2B-7346-44DD-8147-DCA1AA46EBCF}" name="COMENTARIOS2" dataDxfId="228"/>
    <tableColumn id="20" xr3:uid="{3058B7A7-F1DB-4545-B68D-29B1BA42752A}" name="COMENTARIOS3" dataDxfId="227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ACEBDE-4F45-4988-932D-E485AF61E961}" name="Color" displayName="Color" ref="A8:Q37" totalsRowShown="0" headerRowDxfId="271" dataDxfId="270" headerRowBorderDxfId="268" tableBorderDxfId="269" totalsRowBorderDxfId="267">
  <tableColumns count="17">
    <tableColumn id="1" xr3:uid="{26C96248-BBCD-407E-B82E-40BDE76EFE13}" name="FECHA" dataDxfId="266"/>
    <tableColumn id="2" xr3:uid="{5EBFC6C5-455E-4409-8B8E-A0BF5F8A07AE}" name="HORA" dataDxfId="265"/>
    <tableColumn id="3" xr3:uid="{4A53E89D-0990-4032-A6CE-2D48D3D49D36}" name="PRODUCTO" dataDxfId="264"/>
    <tableColumn id="4" xr3:uid="{E10E8574-6547-4962-B196-9A0C51366B3F}" name="AREA" dataDxfId="263"/>
    <tableColumn id="5" xr3:uid="{89873A57-AAFD-4A62-A116-E9CE43D5E5D6}" name="LOTE" dataDxfId="262"/>
    <tableColumn id="6" xr3:uid="{898D436F-D524-4BE2-8545-1F357329261C}" name="ANALISTA" dataDxfId="261"/>
    <tableColumn id="7" xr3:uid="{3C7A01AB-E3DD-4BD2-8892-232C30356787}" name="SACO" dataDxfId="260"/>
    <tableColumn id="8" xr3:uid="{C6CC8885-A9BB-43DE-87EC-AA592C4845AF}" name="pH (1% p/v): _x000a_ COLOR 1: 4.8 - 5.2_x000a_ COLOR 2: 3.0 - 4.0" dataDxfId="259"/>
    <tableColumn id="9" xr3:uid="{D9615D7A-97A3-4E8F-BE0A-C821CE22101F}" name="HUMEDAD Max 5 % " dataDxfId="258"/>
    <tableColumn id="10" xr3:uid="{5BB9768C-BE35-40BC-8237-FEB7E8E2517E}" name="IMPUREZAS: _x000a_3.0 g/350 ml." dataDxfId="257"/>
    <tableColumn id="11" xr3:uid="{05740E58-3DA6-4A04-9926-C8AB5E5EE124}" name="DISCO              Max B" dataDxfId="256"/>
    <tableColumn id="14" xr3:uid="{0AF95136-8AC1-4CD1-8D7E-DD3E07BA4267}" name="COLOR:          NEGRO" dataDxfId="255"/>
    <tableColumn id="15" xr3:uid="{F3DABAA4-B4D3-4728-862B-8521AC0D13CC}" name="APARIENCIA: _x000a_POLVO FINO" dataDxfId="254"/>
    <tableColumn id="16" xr3:uid="{A792B0F6-CDD0-46A1-BC0A-722FE9A7AEAC}" name="MATERIA EXTRAÑA: _x000a_LIBRE" dataDxfId="253"/>
    <tableColumn id="18" xr3:uid="{A099C852-E45D-46DD-9A67-7255D71DFCF3}" name="COMENTARIOS" dataDxfId="252"/>
    <tableColumn id="19" xr3:uid="{5D4F153C-0EB6-4776-A414-ABDDB59C1963}" name="COMENTARIOS2" dataDxfId="251"/>
    <tableColumn id="20" xr3:uid="{481E90A8-8FC3-4359-BA58-12408EBF592F}" name="COMENTARIOS3" dataDxfId="250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D209BF-5525-4BEF-8794-56906B8D8D8E}" name="ollasecador1" displayName="ollasecador1" ref="A8:Q34" insertRowShift="1" totalsRowShown="0" headerRowDxfId="294" dataDxfId="293" headerRowBorderDxfId="291" tableBorderDxfId="292">
  <tableColumns count="17">
    <tableColumn id="1" xr3:uid="{D6FF8A9E-D6CF-41C6-86EF-3D39EE63B8E3}" name="FECHA" dataDxfId="290"/>
    <tableColumn id="2" xr3:uid="{BF0DA057-9747-4A16-A71A-3263CDADDD10}" name="HORA" dataDxfId="289"/>
    <tableColumn id="3" xr3:uid="{D564B371-8030-46B6-A963-34A4981DF3C6}" name="PRODUCTO" dataDxfId="288"/>
    <tableColumn id="4" xr3:uid="{46A336F0-7C24-47FD-9F47-4226F2210037}" name="AREA" dataDxfId="287"/>
    <tableColumn id="5" xr3:uid="{0E34C114-9B1D-4861-98F5-4CB25ABA1068}" name="OLLA" dataDxfId="286"/>
    <tableColumn id="6" xr3:uid="{01891F5A-15B4-4380-80B2-AB268A76407C}" name="ANALISTA" dataDxfId="285"/>
    <tableColumn id="7" xr3:uid="{00AEC3F4-D9C2-404F-B98A-92D52C3316F7}" name="°BX" dataDxfId="284"/>
    <tableColumn id="8" xr3:uid="{CF761093-0E48-47CA-92A8-DC8CB5CF7848}" name="pH_x000a_JDM: 6 - 8_x000a_SDM: 5.8 - 7" dataDxfId="283"/>
    <tableColumn id="9" xr3:uid="{5906AC21-DB34-40D5-AFFE-819CF29297BF}" name="% ST TERMO:_x000a_JDM:  58 - 61%_x000a_SDM: 35 - 45%" dataDxfId="282"/>
    <tableColumn id="10" xr3:uid="{48B9D181-5FA6-4E7A-AC2E-CE8AB6FA18EA}" name="DISCO              Max B" dataDxfId="281"/>
    <tableColumn id="11" xr3:uid="{E55624E3-BC89-414A-A4B4-DDE3D9467200}" name="TEMPERATURA °C : _x000a_80-85 " dataDxfId="280"/>
    <tableColumn id="12" xr3:uid="{B7D9B237-E486-4A56-ACBE-ECAFB76162EE}" name="CONDUCTIVIDAD" dataDxfId="279"/>
    <tableColumn id="13" xr3:uid="{66503039-5F93-428B-BC71-539BC1B9C9A5}" name="DENSIDAD" dataDxfId="278"/>
    <tableColumn id="14" xr3:uid="{A057171C-4660-4708-B6B5-8BFC24A4C990}" name="COLOR" dataDxfId="277"/>
    <tableColumn id="15" xr3:uid="{572A022A-04AD-4698-9AAF-55696EB7E9FF}" name="SABOR" dataDxfId="276"/>
    <tableColumn id="16" xr3:uid="{ED30334E-4B9A-4F90-8C4A-94DEFEE86E12}" name="OLOR" dataDxfId="275"/>
    <tableColumn id="17" xr3:uid="{B70C5B16-4748-4891-B79C-22B669CA4745}" name="COMENTARIOS" dataDxfId="274"/>
  </tableColumns>
  <tableStyleInfo name="TableStyleMedium2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C3D67B-B4B7-41FB-BC61-A563BB8BC7D4}" name="JarabeMaiz" displayName="JarabeMaiz" ref="A8:Q9" totalsRowShown="0" headerRowDxfId="316" dataDxfId="315" headerRowBorderDxfId="313" tableBorderDxfId="314" totalsRowBorderDxfId="312">
  <tableColumns count="17">
    <tableColumn id="1" xr3:uid="{E4424080-3777-493E-A98E-5A6A89343F8F}" name="FECHA" dataDxfId="311"/>
    <tableColumn id="2" xr3:uid="{55640AC0-72AE-48F9-8028-86382BCB3EC0}" name="HORA" dataDxfId="310"/>
    <tableColumn id="3" xr3:uid="{FC282727-381D-459C-8F3B-3B7C591FCF98}" name="PRODUCTO" dataDxfId="309"/>
    <tableColumn id="4" xr3:uid="{16B73CF7-45BC-4A55-93EA-FD68484C693F}" name="AREA" dataDxfId="308"/>
    <tableColumn id="5" xr3:uid="{67BE4889-5541-48EB-B4A3-183F2471EE87}" name="LOTE" dataDxfId="307"/>
    <tableColumn id="6" xr3:uid="{A080376F-6FED-44F4-B0AA-DC7117372417}" name="ANALISTA" dataDxfId="306"/>
    <tableColumn id="7" xr3:uid="{8E987787-5528-4E4D-A8B6-C6B266A55F0E}" name="SACO" dataDxfId="305"/>
    <tableColumn id="8" xr3:uid="{AAFCD1D9-09CA-4AA5-B9F0-381A1CA4AEE4}" name="HUMEDAD Max 6 % " dataDxfId="304"/>
    <tableColumn id="9" xr3:uid="{5667C54F-8410-4BEF-AAA4-59AF8AB8A440}" name="BARRIDO   Max 5 ptos" dataDxfId="303"/>
    <tableColumn id="10" xr3:uid="{B783EB63-5310-48D9-AAAE-F6BA4B4C5099}" name="DISCO              Max C" dataDxfId="302"/>
    <tableColumn id="11" xr3:uid="{F43AE499-88EC-44CF-9C02-8A65109D9048}" name="CONDUCTIVIDAD 0-100  µS/cm AL 30%" dataDxfId="301"/>
    <tableColumn id="12" xr3:uid="{D5C1624E-AD1A-4E39-A382-6FA1EB64195A}" name="COLOR" dataDxfId="300"/>
    <tableColumn id="13" xr3:uid="{D7A21626-E22A-4271-805B-2FCD25D661D9}" name="SABOR" dataDxfId="299"/>
    <tableColumn id="14" xr3:uid="{57FBCFC7-26A6-4B52-9292-A3C07A2119EB}" name="OLOR" dataDxfId="298"/>
    <tableColumn id="15" xr3:uid="{B399114C-C0D2-4B22-8A24-932F06F95E5F}" name="COMENTARIOS" dataDxfId="297"/>
    <tableColumn id="16" xr3:uid="{9D170A0E-BFE2-482A-B7A9-9566C4B27AC7}" name="COMENTARIOS2" dataDxfId="296"/>
    <tableColumn id="17" xr3:uid="{77C14644-A873-4554-8995-AA0074BCEA84}" name="COMENTARIOS3" dataDxfId="295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B534D1-34AB-4572-BC50-A817408DA709}" name="Colageno" displayName="Colageno" ref="A8:Q9" insertRow="1" insertRowShift="1" totalsRowShown="0" headerRowDxfId="340" dataDxfId="339" headerRowBorderDxfId="337" tableBorderDxfId="338">
  <tableColumns count="17">
    <tableColumn id="1" xr3:uid="{D30C0D37-1F78-4AC9-B5DA-7703D9531D98}" name="FECHA" dataDxfId="336"/>
    <tableColumn id="2" xr3:uid="{E9126615-F913-49DC-8ADE-1F23F1A9E1AA}" name="HORA" dataDxfId="335"/>
    <tableColumn id="3" xr3:uid="{6515C7CE-62D8-4373-BFEB-D8B60F7DDC5D}" name="PRODUCTO" dataDxfId="334"/>
    <tableColumn id="4" xr3:uid="{44B2ED6F-1E92-4B08-9CFD-A9770C1FBBEF}" name="AREA" dataDxfId="333"/>
    <tableColumn id="5" xr3:uid="{D9EECC4B-6388-43E4-8A2B-8E7E17012C60}" name="LOTE" dataDxfId="332"/>
    <tableColumn id="6" xr3:uid="{69580A6C-0D2E-4491-A13E-767F7ADD84BB}" name="ANALISTA" dataDxfId="331"/>
    <tableColumn id="7" xr3:uid="{6AC536B2-15A3-4F62-9C4B-9827FFAC6269}" name="SACO" dataDxfId="330"/>
    <tableColumn id="8" xr3:uid="{424132D8-A0FE-48F1-BC11-91E39BC1A6CE}" name="pH_x000a_6 - 8" dataDxfId="329"/>
    <tableColumn id="9" xr3:uid="{89863133-B8F6-4AEF-8510-2D1E49C5C393}" name="HUMEDAD Max 6 % " dataDxfId="328"/>
    <tableColumn id="10" xr3:uid="{F7DF720A-92C0-4918-8084-C180A0FC2B7A}" name="BARRIDO   Max 5 ptos" dataDxfId="327"/>
    <tableColumn id="11" xr3:uid="{F5429367-BAB0-4498-8881-C778C1E1CF4A}" name="DISCO              Max C" dataDxfId="326"/>
    <tableColumn id="12" xr3:uid="{5386DBEA-229E-46E9-B6A6-FB563B133138}" name="COLOR" dataDxfId="325"/>
    <tableColumn id="13" xr3:uid="{A9A2E126-9A41-493A-B7A5-BFB8FA969971}" name="SABOR" dataDxfId="324"/>
    <tableColumn id="14" xr3:uid="{349003A5-0BB3-4809-AD8B-B2CF51960AEA}" name="OLOR" dataDxfId="323"/>
    <tableColumn id="15" xr3:uid="{5EF3DBE1-CA7A-4229-9D9F-05E0B0368205}" name="COMENTARIOS" dataDxfId="322"/>
    <tableColumn id="16" xr3:uid="{2B0346A7-DFA1-407D-A410-80DAD6780716}" name="COMENTARIOS2" dataDxfId="321"/>
    <tableColumn id="17" xr3:uid="{B33F1C34-C1F1-4167-A5E9-724A860E599F}" name="COMENTARIOS3" dataDxfId="320"/>
  </tableColumns>
  <tableStyleInfo name="TableStyleMedium2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CC8361-0F23-48CD-B41F-14D115F1FD6B}" name="Calostro" displayName="Calostro" ref="A8:T15" totalsRowShown="0" headerRowDxfId="365" dataDxfId="364" headerRowBorderDxfId="362" tableBorderDxfId="363" totalsRowBorderDxfId="361">
  <tableColumns count="20">
    <tableColumn id="1" xr3:uid="{70EE18C7-FF7B-41BF-80E1-7ED959DE97B9}" name="FECHA" dataDxfId="360"/>
    <tableColumn id="2" xr3:uid="{62E10A5B-F0C8-4225-8313-5374F83B8C03}" name="HORA" dataDxfId="359"/>
    <tableColumn id="3" xr3:uid="{5FFD4C3F-69B3-4066-ABA9-731CCDD29E85}" name="PRODUCTO" dataDxfId="358"/>
    <tableColumn id="4" xr3:uid="{19C61674-32FF-47E9-BD30-BB3D9C482E0C}" name="AREA" dataDxfId="357"/>
    <tableColumn id="5" xr3:uid="{1BF369B0-BC18-4FC6-A762-060D7E6D3DDF}" name="LOTE" dataDxfId="356"/>
    <tableColumn id="6" xr3:uid="{CEABBB6D-520C-40C1-B5C2-10A48DEBCAA4}" name="ANALISTA" dataDxfId="355"/>
    <tableColumn id="7" xr3:uid="{6C286CF9-E35C-4D52-B35F-68F96E103D53}" name="SACO" dataDxfId="354"/>
    <tableColumn id="8" xr3:uid="{28185079-760A-4918-AF13-65335552BD67}" name="PH" dataDxfId="353"/>
    <tableColumn id="9" xr3:uid="{EE293BDD-8357-42A7-BC54-D158E26B9B71}" name="ACIDEZ" dataDxfId="352"/>
    <tableColumn id="10" xr3:uid="{3A1B9040-2C93-44DA-964D-DAB9B77B6C70}" name="GRASA" dataDxfId="351"/>
    <tableColumn id="11" xr3:uid="{770A8F34-76D3-4DCE-BC25-54173B70E4AD}" name="HUMEDAD Max 6 % " dataDxfId="350"/>
    <tableColumn id="12" xr3:uid="{C4C60306-FFD5-41AC-81B0-CA58E13035DC}" name="BARRIDO   Max 5 ptos" dataDxfId="349"/>
    <tableColumn id="13" xr3:uid="{C9F89BA6-E5A2-4211-BD5C-C340E8ECF98C}" name="DISCO              Max B" dataDxfId="348"/>
    <tableColumn id="14" xr3:uid="{AB55292B-E9FA-4B60-BC63-269A9518E9A2}" name="COLOR            Lig. Amarillo - Amarillo" dataDxfId="347"/>
    <tableColumn id="15" xr3:uid="{A36D97BB-A09D-4F8F-BA51-47416EC57BB6}" name="SABOR:             Característico Lácteo, sin sabores extraños" dataDxfId="346"/>
    <tableColumn id="16" xr3:uid="{155EAB84-93BE-4971-9666-04FB42562E04}" name="OLOR:                Característico Lácteo, sin olores extraños" dataDxfId="345"/>
    <tableColumn id="18" xr3:uid="{A66CE4B9-FE66-4443-B140-DAF5367C511F}" name="COMENTARIOS" dataDxfId="344"/>
    <tableColumn id="19" xr3:uid="{35638C06-EB9F-4BD2-8FD8-CA9DE83A042D}" name="COMENTARIOS2" dataDxfId="343"/>
    <tableColumn id="20" xr3:uid="{310AFF95-951F-4997-B460-105EF405AE2F}" name="COMENTARIOS3" dataDxfId="342"/>
    <tableColumn id="17" xr3:uid="{A7907966-4948-4B2C-85AB-CD6749DEFB7B}" name="COMENTARIOS4" dataDxfId="341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6.xml"/><Relationship Id="rId5" Type="http://schemas.openxmlformats.org/officeDocument/2006/relationships/image" Target="../media/image8.png"/><Relationship Id="rId4" Type="http://schemas.openxmlformats.org/officeDocument/2006/relationships/oleObject" Target="../embeddings/oleObject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E450E-05E0-4CC9-8928-641B23C1345A}">
  <sheetPr codeName="Hoja13"/>
  <dimension ref="A1:Q10"/>
  <sheetViews>
    <sheetView topLeftCell="A7" zoomScale="90" zoomScaleNormal="90" workbookViewId="0">
      <selection activeCell="D21" sqref="D21"/>
    </sheetView>
  </sheetViews>
  <sheetFormatPr baseColWidth="10" defaultRowHeight="15" x14ac:dyDescent="0.25"/>
  <cols>
    <col min="1" max="1" width="25.42578125" customWidth="1"/>
    <col min="2" max="2" width="32.42578125" customWidth="1"/>
    <col min="3" max="3" width="48.140625" customWidth="1"/>
    <col min="4" max="4" width="43.85546875" customWidth="1"/>
    <col min="5" max="5" width="49" customWidth="1"/>
    <col min="6" max="6" width="14.42578125" bestFit="1" customWidth="1"/>
  </cols>
  <sheetData>
    <row r="1" spans="1:17" ht="16.5" customHeight="1" thickBot="1" x14ac:dyDescent="0.3">
      <c r="A1" s="8"/>
      <c r="B1" s="9" t="s">
        <v>66</v>
      </c>
      <c r="C1" s="10"/>
      <c r="D1" s="10"/>
      <c r="E1" s="11"/>
    </row>
    <row r="2" spans="1:17" ht="16.5" customHeight="1" thickBot="1" x14ac:dyDescent="0.3">
      <c r="A2" s="12"/>
      <c r="B2" s="13" t="s">
        <v>37</v>
      </c>
      <c r="C2" s="14"/>
      <c r="D2" s="14"/>
      <c r="E2" s="15"/>
    </row>
    <row r="3" spans="1:17" ht="37.5" customHeight="1" thickBot="1" x14ac:dyDescent="0.3">
      <c r="A3" s="12"/>
      <c r="B3" s="16" t="s">
        <v>38</v>
      </c>
      <c r="C3" s="17"/>
      <c r="D3" s="17"/>
      <c r="E3" s="18"/>
    </row>
    <row r="4" spans="1:17" ht="15.75" x14ac:dyDescent="0.25">
      <c r="A4" s="12"/>
      <c r="B4" s="307" t="s">
        <v>39</v>
      </c>
      <c r="C4" s="307" t="s">
        <v>40</v>
      </c>
      <c r="D4" s="307" t="s">
        <v>41</v>
      </c>
      <c r="E4" s="308"/>
    </row>
    <row r="5" spans="1:17" ht="28.5" customHeight="1" x14ac:dyDescent="0.25">
      <c r="A5" s="12"/>
      <c r="B5" s="309" t="s">
        <v>43</v>
      </c>
      <c r="C5" s="309">
        <v>0</v>
      </c>
      <c r="D5" s="309" t="s">
        <v>250</v>
      </c>
      <c r="E5" s="310" t="s">
        <v>42</v>
      </c>
    </row>
    <row r="6" spans="1:17" ht="14.25" customHeight="1" thickBot="1" x14ac:dyDescent="0.3">
      <c r="A6" s="30"/>
      <c r="B6" s="311"/>
      <c r="C6" s="311"/>
      <c r="D6" s="312"/>
      <c r="E6" s="311"/>
    </row>
    <row r="9" spans="1:17" x14ac:dyDescent="0.25">
      <c r="A9" s="1"/>
      <c r="B9" s="2"/>
    </row>
    <row r="10" spans="1:17" x14ac:dyDescent="0.25">
      <c r="L10" t="s">
        <v>72</v>
      </c>
      <c r="M10" t="s">
        <v>72</v>
      </c>
      <c r="N10" t="s">
        <v>72</v>
      </c>
      <c r="O10" t="s">
        <v>72</v>
      </c>
      <c r="P10" t="s">
        <v>72</v>
      </c>
      <c r="Q10" t="s">
        <v>72</v>
      </c>
    </row>
  </sheetData>
  <mergeCells count="4">
    <mergeCell ref="A1:A6"/>
    <mergeCell ref="B1:E1"/>
    <mergeCell ref="B2:E2"/>
    <mergeCell ref="B3:E3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4838C-788B-4058-9423-C2E52D1DE272}">
  <sheetPr codeName="Hoja22"/>
  <dimension ref="A1:AJ10"/>
  <sheetViews>
    <sheetView workbookViewId="0">
      <selection activeCell="F26" sqref="F26"/>
    </sheetView>
  </sheetViews>
  <sheetFormatPr baseColWidth="10" defaultRowHeight="15" x14ac:dyDescent="0.25"/>
  <cols>
    <col min="1" max="1" width="17" customWidth="1"/>
    <col min="2" max="2" width="15.85546875" bestFit="1" customWidth="1"/>
    <col min="3" max="3" width="14.85546875" bestFit="1" customWidth="1"/>
    <col min="4" max="4" width="13.5703125" bestFit="1" customWidth="1"/>
    <col min="5" max="5" width="10.5703125" bestFit="1" customWidth="1"/>
    <col min="6" max="6" width="12" bestFit="1" customWidth="1"/>
    <col min="7" max="8" width="12" customWidth="1"/>
    <col min="9" max="10" width="11.85546875" customWidth="1"/>
    <col min="11" max="11" width="16.28515625" bestFit="1" customWidth="1"/>
    <col min="12" max="13" width="11.85546875" customWidth="1"/>
    <col min="15" max="16" width="19.85546875" customWidth="1"/>
    <col min="17" max="17" width="20.85546875" customWidth="1"/>
    <col min="18" max="18" width="18.28515625" customWidth="1"/>
    <col min="19" max="19" width="17.7109375" customWidth="1"/>
    <col min="20" max="20" width="17.5703125" customWidth="1"/>
    <col min="21" max="21" width="20" customWidth="1"/>
    <col min="22" max="22" width="16.5703125" bestFit="1" customWidth="1"/>
    <col min="23" max="24" width="15.7109375" bestFit="1" customWidth="1"/>
    <col min="25" max="25" width="12.42578125" bestFit="1" customWidth="1"/>
    <col min="26" max="26" width="13.5703125" bestFit="1" customWidth="1"/>
    <col min="27" max="27" width="16.42578125" customWidth="1"/>
    <col min="28" max="30" width="17.42578125" customWidth="1"/>
    <col min="33" max="33" width="16.5703125" bestFit="1" customWidth="1"/>
  </cols>
  <sheetData>
    <row r="1" spans="1:36" ht="17.2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1"/>
      <c r="AD1" s="301"/>
    </row>
    <row r="2" spans="1:36" ht="16.5" thickBot="1" x14ac:dyDescent="0.3">
      <c r="A2" s="12"/>
      <c r="B2" s="82" t="s">
        <v>37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4"/>
      <c r="AD2" s="305"/>
    </row>
    <row r="3" spans="1:36" ht="27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8"/>
      <c r="AD3" s="306"/>
    </row>
    <row r="4" spans="1:36" ht="12" customHeight="1" x14ac:dyDescent="0.25">
      <c r="A4" s="12"/>
      <c r="B4" s="19" t="s">
        <v>39</v>
      </c>
      <c r="C4" s="20"/>
      <c r="D4" s="20"/>
      <c r="E4" s="21"/>
      <c r="F4" s="19" t="s">
        <v>40</v>
      </c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19" t="s">
        <v>41</v>
      </c>
      <c r="T4" s="20"/>
      <c r="U4" s="20"/>
      <c r="V4" s="20"/>
      <c r="W4" s="20"/>
      <c r="X4" s="21"/>
      <c r="Y4" s="66" t="s">
        <v>42</v>
      </c>
      <c r="Z4" s="85"/>
      <c r="AA4" s="85"/>
      <c r="AB4" s="85"/>
      <c r="AC4" s="67"/>
      <c r="AD4" s="81"/>
    </row>
    <row r="5" spans="1:36" ht="17.25" customHeight="1" x14ac:dyDescent="0.25">
      <c r="A5" s="12"/>
      <c r="B5" s="24" t="s">
        <v>43</v>
      </c>
      <c r="C5" s="25"/>
      <c r="D5" s="25"/>
      <c r="E5" s="26"/>
      <c r="F5" s="24">
        <v>1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6"/>
      <c r="S5" s="24" t="s">
        <v>44</v>
      </c>
      <c r="T5" s="25"/>
      <c r="U5" s="25"/>
      <c r="V5" s="25"/>
      <c r="W5" s="25"/>
      <c r="X5" s="26"/>
      <c r="Y5" s="69"/>
      <c r="Z5" s="22"/>
      <c r="AA5" s="22"/>
      <c r="AB5" s="22"/>
      <c r="AC5" s="23"/>
      <c r="AD5" s="81"/>
    </row>
    <row r="6" spans="1:36" ht="15.75" thickBot="1" x14ac:dyDescent="0.3">
      <c r="A6" s="30"/>
      <c r="B6" s="31"/>
      <c r="C6" s="32"/>
      <c r="D6" s="32"/>
      <c r="E6" s="33"/>
      <c r="F6" s="31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3"/>
      <c r="S6" s="31"/>
      <c r="T6" s="32"/>
      <c r="U6" s="32"/>
      <c r="V6" s="32"/>
      <c r="W6" s="32"/>
      <c r="X6" s="33"/>
      <c r="Y6" s="70"/>
      <c r="Z6" s="37"/>
      <c r="AA6" s="37"/>
      <c r="AB6" s="37"/>
      <c r="AC6" s="38"/>
      <c r="AD6" s="81"/>
    </row>
    <row r="7" spans="1:36" ht="15.75" hidden="1" thickBot="1" x14ac:dyDescent="0.3">
      <c r="A7" s="1">
        <f ca="1">TODAY()</f>
        <v>45822</v>
      </c>
      <c r="D7" t="s">
        <v>115</v>
      </c>
      <c r="E7" s="40" t="s">
        <v>45</v>
      </c>
      <c r="I7" s="71" t="s">
        <v>73</v>
      </c>
      <c r="J7" s="71"/>
      <c r="K7" s="71"/>
      <c r="L7" s="71"/>
      <c r="M7" s="71"/>
      <c r="X7" s="1">
        <f ca="1">TODAY()</f>
        <v>45822</v>
      </c>
    </row>
    <row r="8" spans="1:36" ht="30.75" thickBot="1" x14ac:dyDescent="0.3">
      <c r="A8" s="93" t="s">
        <v>46</v>
      </c>
      <c r="B8" s="93" t="s">
        <v>243</v>
      </c>
      <c r="C8" s="93" t="s">
        <v>244</v>
      </c>
      <c r="D8" s="93" t="s">
        <v>116</v>
      </c>
      <c r="E8" s="93" t="s">
        <v>117</v>
      </c>
      <c r="F8" s="93" t="s">
        <v>48</v>
      </c>
      <c r="G8" s="93" t="s">
        <v>245</v>
      </c>
      <c r="H8" s="93" t="s">
        <v>246</v>
      </c>
      <c r="I8" s="93" t="s">
        <v>118</v>
      </c>
      <c r="J8" s="93" t="s">
        <v>119</v>
      </c>
      <c r="K8" s="93" t="s">
        <v>120</v>
      </c>
      <c r="L8" s="93" t="s">
        <v>121</v>
      </c>
      <c r="M8" s="93" t="s">
        <v>122</v>
      </c>
      <c r="N8" s="93" t="s">
        <v>51</v>
      </c>
      <c r="O8" s="44" t="s">
        <v>123</v>
      </c>
      <c r="P8" s="44" t="s">
        <v>124</v>
      </c>
      <c r="Q8" s="44" t="s">
        <v>125</v>
      </c>
      <c r="R8" s="44" t="s">
        <v>126</v>
      </c>
      <c r="S8" s="44" t="s">
        <v>127</v>
      </c>
      <c r="T8" s="44" t="s">
        <v>128</v>
      </c>
      <c r="U8" s="44" t="s">
        <v>129</v>
      </c>
      <c r="V8" s="44" t="s">
        <v>131</v>
      </c>
      <c r="W8" s="57" t="s">
        <v>132</v>
      </c>
      <c r="X8" s="45" t="s">
        <v>133</v>
      </c>
      <c r="Y8" s="45" t="s">
        <v>134</v>
      </c>
      <c r="Z8" s="87" t="s">
        <v>135</v>
      </c>
      <c r="AA8" s="94" t="s">
        <v>136</v>
      </c>
      <c r="AB8" s="94" t="s">
        <v>137</v>
      </c>
      <c r="AC8" s="94" t="s">
        <v>138</v>
      </c>
      <c r="AD8" s="95" t="s">
        <v>130</v>
      </c>
      <c r="AE8" s="95" t="s">
        <v>70</v>
      </c>
      <c r="AF8" s="95" t="s">
        <v>69</v>
      </c>
      <c r="AG8" s="95" t="s">
        <v>139</v>
      </c>
      <c r="AH8" s="96" t="s">
        <v>247</v>
      </c>
      <c r="AI8" s="96" t="s">
        <v>248</v>
      </c>
      <c r="AJ8" s="96" t="s">
        <v>249</v>
      </c>
    </row>
    <row r="9" spans="1:36" x14ac:dyDescent="0.25">
      <c r="A9" s="97"/>
      <c r="B9" s="99"/>
      <c r="C9" s="213"/>
      <c r="D9" s="99"/>
      <c r="E9" s="99"/>
      <c r="F9" s="99"/>
      <c r="G9" s="213"/>
      <c r="H9" s="213"/>
      <c r="I9" s="99"/>
      <c r="J9" s="213"/>
      <c r="K9" s="213"/>
      <c r="L9" s="213"/>
      <c r="M9" s="213"/>
      <c r="N9" s="99"/>
      <c r="O9" s="99"/>
      <c r="P9" s="99"/>
      <c r="Q9" s="99"/>
      <c r="R9" s="99"/>
      <c r="S9" s="99"/>
      <c r="T9" s="99"/>
      <c r="U9" s="99"/>
      <c r="V9" s="99"/>
      <c r="W9" s="213"/>
      <c r="X9" s="99"/>
      <c r="Y9" s="99"/>
      <c r="Z9" s="99"/>
      <c r="AA9" s="99"/>
      <c r="AB9" s="99"/>
      <c r="AC9" s="99"/>
      <c r="AD9" s="213"/>
      <c r="AE9" s="99"/>
      <c r="AF9" s="99"/>
      <c r="AG9" s="99"/>
      <c r="AH9" s="102"/>
      <c r="AI9" s="102"/>
      <c r="AJ9" s="102"/>
    </row>
    <row r="10" spans="1:36" s="214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</sheetData>
  <mergeCells count="11">
    <mergeCell ref="S5:X6"/>
    <mergeCell ref="A1:A6"/>
    <mergeCell ref="B1:AC1"/>
    <mergeCell ref="B2:AC2"/>
    <mergeCell ref="B3:AC3"/>
    <mergeCell ref="B4:E4"/>
    <mergeCell ref="F4:R4"/>
    <mergeCell ref="S4:X4"/>
    <mergeCell ref="Y4:AC6"/>
    <mergeCell ref="B5:E6"/>
    <mergeCell ref="F5:R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9AA-0DE4-45FB-B3FF-23A115E923F9}">
  <sheetPr codeName="Hoja21"/>
  <dimension ref="A1:U13"/>
  <sheetViews>
    <sheetView workbookViewId="0">
      <selection activeCell="F26" sqref="F26"/>
    </sheetView>
  </sheetViews>
  <sheetFormatPr baseColWidth="10" defaultRowHeight="15" x14ac:dyDescent="0.25"/>
  <cols>
    <col min="1" max="1" width="17" customWidth="1"/>
    <col min="3" max="3" width="18" customWidth="1"/>
    <col min="6" max="6" width="18.140625" customWidth="1"/>
    <col min="8" max="8" width="20.7109375" customWidth="1"/>
    <col min="9" max="9" width="22" customWidth="1"/>
    <col min="10" max="12" width="20" customWidth="1"/>
    <col min="13" max="13" width="31.7109375" customWidth="1"/>
    <col min="14" max="14" width="18.85546875" customWidth="1"/>
    <col min="15" max="15" width="14.85546875" customWidth="1"/>
    <col min="16" max="16" width="16.42578125" customWidth="1"/>
    <col min="17" max="18" width="17.42578125" customWidth="1"/>
  </cols>
  <sheetData>
    <row r="1" spans="1:21" ht="16.5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</row>
    <row r="2" spans="1:21" ht="16.5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5"/>
    </row>
    <row r="3" spans="1:21" ht="19.5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8"/>
    </row>
    <row r="4" spans="1:21" ht="15.75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1"/>
      <c r="J4" s="19" t="s">
        <v>41</v>
      </c>
      <c r="K4" s="20"/>
      <c r="L4" s="20"/>
      <c r="M4" s="20"/>
      <c r="N4" s="20"/>
      <c r="O4" s="20"/>
      <c r="P4" s="21"/>
      <c r="Q4" s="22" t="s">
        <v>42</v>
      </c>
      <c r="R4" s="22"/>
      <c r="S4" s="22"/>
      <c r="T4" s="23"/>
    </row>
    <row r="5" spans="1:2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6"/>
      <c r="J5" s="24" t="s">
        <v>44</v>
      </c>
      <c r="K5" s="25"/>
      <c r="L5" s="25"/>
      <c r="M5" s="25"/>
      <c r="N5" s="25"/>
      <c r="O5" s="25"/>
      <c r="P5" s="26"/>
      <c r="Q5" s="22"/>
      <c r="R5" s="22"/>
      <c r="S5" s="22"/>
      <c r="T5" s="23"/>
    </row>
    <row r="6" spans="1:21" ht="15.75" thickBot="1" x14ac:dyDescent="0.3">
      <c r="A6" s="30"/>
      <c r="B6" s="31"/>
      <c r="C6" s="32"/>
      <c r="D6" s="33"/>
      <c r="E6" s="31"/>
      <c r="F6" s="32"/>
      <c r="G6" s="32"/>
      <c r="H6" s="32"/>
      <c r="I6" s="33"/>
      <c r="J6" s="31"/>
      <c r="K6" s="32"/>
      <c r="L6" s="32"/>
      <c r="M6" s="32"/>
      <c r="N6" s="32"/>
      <c r="O6" s="32"/>
      <c r="P6" s="33"/>
      <c r="Q6" s="37"/>
      <c r="R6" s="37"/>
      <c r="S6" s="37"/>
      <c r="T6" s="38"/>
    </row>
    <row r="7" spans="1:21" x14ac:dyDescent="0.25">
      <c r="A7" s="39">
        <f ca="1">TODAY()</f>
        <v>45822</v>
      </c>
      <c r="D7" s="40" t="s">
        <v>235</v>
      </c>
      <c r="F7" s="40" t="s">
        <v>236</v>
      </c>
    </row>
    <row r="8" spans="1:21" ht="30.75" thickBot="1" x14ac:dyDescent="0.3">
      <c r="A8" s="56" t="s">
        <v>46</v>
      </c>
      <c r="B8" s="56" t="s">
        <v>47</v>
      </c>
      <c r="C8" s="56" t="s">
        <v>48</v>
      </c>
      <c r="D8" s="56" t="s">
        <v>49</v>
      </c>
      <c r="E8" s="56" t="s">
        <v>50</v>
      </c>
      <c r="F8" s="56" t="s">
        <v>51</v>
      </c>
      <c r="G8" s="57" t="s">
        <v>237</v>
      </c>
      <c r="H8" s="57" t="s">
        <v>238</v>
      </c>
      <c r="I8" s="57" t="s">
        <v>239</v>
      </c>
      <c r="J8" s="57" t="s">
        <v>240</v>
      </c>
      <c r="K8" s="57" t="s">
        <v>241</v>
      </c>
      <c r="L8" s="57" t="s">
        <v>242</v>
      </c>
      <c r="M8" s="57" t="s">
        <v>69</v>
      </c>
      <c r="N8" s="57" t="s">
        <v>70</v>
      </c>
      <c r="O8" s="58" t="s">
        <v>71</v>
      </c>
      <c r="P8" s="58" t="s">
        <v>62</v>
      </c>
      <c r="Q8" s="58" t="s">
        <v>63</v>
      </c>
      <c r="R8" s="57" t="s">
        <v>64</v>
      </c>
    </row>
    <row r="9" spans="1:21" x14ac:dyDescent="0.25">
      <c r="A9" s="303"/>
      <c r="B9" s="304"/>
      <c r="C9" s="304"/>
      <c r="D9" s="304"/>
      <c r="E9" s="304"/>
      <c r="F9" s="304"/>
      <c r="G9" s="304"/>
      <c r="H9" s="304"/>
      <c r="I9" s="304"/>
      <c r="J9" s="304"/>
      <c r="K9" s="304"/>
      <c r="L9" s="304"/>
      <c r="M9" s="304"/>
      <c r="N9" s="304"/>
      <c r="O9" s="304"/>
      <c r="P9" s="304"/>
      <c r="Q9" s="304"/>
      <c r="R9" s="304"/>
    </row>
    <row r="10" spans="1:21" x14ac:dyDescent="0.25">
      <c r="A10" s="1"/>
      <c r="F10" t="s">
        <v>72</v>
      </c>
      <c r="N10" t="s">
        <v>72</v>
      </c>
      <c r="O10" t="s">
        <v>72</v>
      </c>
      <c r="P10" t="s">
        <v>72</v>
      </c>
      <c r="Q10" t="s">
        <v>72</v>
      </c>
      <c r="R10" t="s">
        <v>72</v>
      </c>
    </row>
    <row r="11" spans="1:21" x14ac:dyDescent="0.25">
      <c r="A11" s="1"/>
      <c r="F11" t="s">
        <v>72</v>
      </c>
      <c r="N11" t="s">
        <v>72</v>
      </c>
      <c r="O11" t="s">
        <v>72</v>
      </c>
      <c r="P11" t="s">
        <v>72</v>
      </c>
      <c r="Q11" t="s">
        <v>72</v>
      </c>
      <c r="R11" t="s">
        <v>72</v>
      </c>
    </row>
    <row r="12" spans="1:21" x14ac:dyDescent="0.25">
      <c r="A12" s="1"/>
      <c r="F12" t="s">
        <v>72</v>
      </c>
      <c r="N12" t="s">
        <v>72</v>
      </c>
      <c r="O12" t="s">
        <v>72</v>
      </c>
      <c r="P12" t="s">
        <v>72</v>
      </c>
      <c r="Q12" t="s">
        <v>72</v>
      </c>
      <c r="R12" t="s">
        <v>72</v>
      </c>
      <c r="S12" t="s">
        <v>72</v>
      </c>
      <c r="T12" t="s">
        <v>72</v>
      </c>
      <c r="U12" t="s">
        <v>72</v>
      </c>
    </row>
    <row r="13" spans="1:21" x14ac:dyDescent="0.25">
      <c r="S13" t="s">
        <v>72</v>
      </c>
      <c r="T13" t="s">
        <v>72</v>
      </c>
      <c r="U13" t="s">
        <v>72</v>
      </c>
    </row>
  </sheetData>
  <mergeCells count="11">
    <mergeCell ref="J5:P6"/>
    <mergeCell ref="A1:A6"/>
    <mergeCell ref="B1:T1"/>
    <mergeCell ref="B2:T2"/>
    <mergeCell ref="B3:T3"/>
    <mergeCell ref="B4:D4"/>
    <mergeCell ref="E4:I4"/>
    <mergeCell ref="J4:P4"/>
    <mergeCell ref="Q4:T6"/>
    <mergeCell ref="B5:D6"/>
    <mergeCell ref="E5:I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44AE9-CCCB-4FB1-93CF-A8E9530B1508}">
  <sheetPr codeName="Hoja12"/>
  <dimension ref="A1:Q9"/>
  <sheetViews>
    <sheetView topLeftCell="J1" workbookViewId="0">
      <selection activeCell="F26" sqref="F26"/>
    </sheetView>
  </sheetViews>
  <sheetFormatPr baseColWidth="10" defaultRowHeight="15" x14ac:dyDescent="0.25"/>
  <cols>
    <col min="1" max="1" width="17" customWidth="1"/>
    <col min="7" max="7" width="10.28515625" customWidth="1"/>
    <col min="8" max="8" width="19.85546875" customWidth="1"/>
    <col min="9" max="9" width="20.85546875" customWidth="1"/>
    <col min="10" max="10" width="18.28515625" customWidth="1"/>
    <col min="11" max="11" width="20.7109375" customWidth="1"/>
    <col min="12" max="12" width="22" customWidth="1"/>
    <col min="13" max="13" width="20" customWidth="1"/>
    <col min="14" max="16" width="23.7109375" customWidth="1"/>
    <col min="17" max="17" width="43" customWidth="1"/>
  </cols>
  <sheetData>
    <row r="1" spans="1:17" ht="17.2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ht="16.5" thickBot="1" x14ac:dyDescent="0.3">
      <c r="A2" s="12"/>
      <c r="B2" s="82" t="s">
        <v>37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</row>
    <row r="3" spans="1:17" ht="27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</row>
    <row r="4" spans="1:17" ht="12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0"/>
      <c r="N4" s="20"/>
      <c r="O4" s="300"/>
      <c r="P4" s="300"/>
      <c r="Q4" s="66" t="s">
        <v>42</v>
      </c>
    </row>
    <row r="5" spans="1:17" ht="17.2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6"/>
      <c r="K5" s="24" t="s">
        <v>44</v>
      </c>
      <c r="L5" s="25"/>
      <c r="M5" s="25"/>
      <c r="N5" s="25"/>
      <c r="O5" s="301"/>
      <c r="P5" s="301"/>
      <c r="Q5" s="69"/>
    </row>
    <row r="6" spans="1:17" ht="16.5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3"/>
      <c r="K6" s="31"/>
      <c r="L6" s="32"/>
      <c r="M6" s="32"/>
      <c r="N6" s="32"/>
      <c r="O6" s="302"/>
      <c r="P6" s="302"/>
      <c r="Q6" s="70"/>
    </row>
    <row r="7" spans="1:17" ht="15.75" thickBot="1" x14ac:dyDescent="0.3">
      <c r="A7" s="1">
        <f ca="1">TODAY()</f>
        <v>45822</v>
      </c>
      <c r="C7" s="71" t="s">
        <v>221</v>
      </c>
      <c r="D7" s="40" t="s">
        <v>222</v>
      </c>
    </row>
    <row r="8" spans="1:17" ht="30.75" thickBot="1" x14ac:dyDescent="0.3">
      <c r="A8" s="93" t="s">
        <v>46</v>
      </c>
      <c r="B8" s="93" t="s">
        <v>47</v>
      </c>
      <c r="C8" s="93" t="s">
        <v>94</v>
      </c>
      <c r="D8" s="93" t="s">
        <v>49</v>
      </c>
      <c r="E8" s="93" t="s">
        <v>51</v>
      </c>
      <c r="F8" s="93" t="s">
        <v>223</v>
      </c>
      <c r="G8" s="44" t="s">
        <v>224</v>
      </c>
      <c r="H8" s="44" t="s">
        <v>225</v>
      </c>
      <c r="I8" s="44" t="s">
        <v>226</v>
      </c>
      <c r="J8" s="44" t="s">
        <v>227</v>
      </c>
      <c r="K8" s="44" t="s">
        <v>228</v>
      </c>
      <c r="L8" s="44" t="s">
        <v>229</v>
      </c>
      <c r="M8" s="44" t="s">
        <v>230</v>
      </c>
      <c r="N8" s="44" t="s">
        <v>231</v>
      </c>
      <c r="O8" s="57" t="s">
        <v>232</v>
      </c>
      <c r="P8" s="57" t="s">
        <v>233</v>
      </c>
      <c r="Q8" s="45" t="s">
        <v>234</v>
      </c>
    </row>
    <row r="9" spans="1:17" x14ac:dyDescent="0.25">
      <c r="A9" s="97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101"/>
      <c r="P9" s="101"/>
      <c r="Q9" s="99"/>
    </row>
  </sheetData>
  <mergeCells count="11">
    <mergeCell ref="K5:N6"/>
    <mergeCell ref="A1:A6"/>
    <mergeCell ref="B1:Q1"/>
    <mergeCell ref="B2:Q2"/>
    <mergeCell ref="B3:Q3"/>
    <mergeCell ref="B4:D4"/>
    <mergeCell ref="E4:J4"/>
    <mergeCell ref="K4:N4"/>
    <mergeCell ref="Q4:Q6"/>
    <mergeCell ref="B5:D6"/>
    <mergeCell ref="E5:J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BF864-ABAA-4214-A48B-5D31BA36D814}">
  <sheetPr codeName="Hoja14">
    <pageSetUpPr fitToPage="1"/>
  </sheetPr>
  <dimension ref="A1:W51"/>
  <sheetViews>
    <sheetView view="pageBreakPreview" zoomScale="90" zoomScaleNormal="39" zoomScaleSheetLayoutView="90" workbookViewId="0">
      <selection activeCell="F26" sqref="F26"/>
    </sheetView>
  </sheetViews>
  <sheetFormatPr baseColWidth="10" defaultRowHeight="15" x14ac:dyDescent="0.25"/>
  <cols>
    <col min="1" max="5" width="4.7109375" customWidth="1"/>
    <col min="6" max="6" width="5.140625" customWidth="1"/>
    <col min="7" max="7" width="5.7109375" customWidth="1"/>
    <col min="8" max="8" width="4.7109375" customWidth="1"/>
    <col min="9" max="9" width="5.5703125" customWidth="1"/>
    <col min="10" max="12" width="4.7109375" customWidth="1"/>
    <col min="13" max="13" width="6.7109375" customWidth="1"/>
    <col min="14" max="23" width="4.7109375" customWidth="1"/>
  </cols>
  <sheetData>
    <row r="1" spans="1:23" x14ac:dyDescent="0.25">
      <c r="A1" s="215"/>
      <c r="B1" s="216"/>
      <c r="C1" s="216"/>
      <c r="D1" s="216"/>
      <c r="E1" s="217"/>
      <c r="F1" s="218" t="s">
        <v>188</v>
      </c>
      <c r="G1" s="219"/>
      <c r="H1" s="219"/>
      <c r="I1" s="219"/>
      <c r="J1" s="219"/>
      <c r="K1" s="219"/>
      <c r="L1" s="219"/>
      <c r="M1" s="219"/>
      <c r="N1" s="219"/>
      <c r="O1" s="219"/>
      <c r="P1" s="220" t="s">
        <v>189</v>
      </c>
      <c r="Q1" s="221"/>
      <c r="R1" s="221"/>
      <c r="S1" s="221"/>
      <c r="T1" s="222">
        <f>T5</f>
        <v>45767</v>
      </c>
      <c r="U1" s="221"/>
      <c r="V1" s="221"/>
      <c r="W1" s="223"/>
    </row>
    <row r="2" spans="1:23" x14ac:dyDescent="0.25">
      <c r="A2" s="224"/>
      <c r="B2" s="225"/>
      <c r="C2" s="225"/>
      <c r="D2" s="225"/>
      <c r="E2" s="226"/>
      <c r="F2" s="227"/>
      <c r="G2" s="228"/>
      <c r="H2" s="228"/>
      <c r="I2" s="228"/>
      <c r="J2" s="228"/>
      <c r="K2" s="228"/>
      <c r="L2" s="228"/>
      <c r="M2" s="228"/>
      <c r="N2" s="228"/>
      <c r="O2" s="228"/>
      <c r="P2" s="229" t="s">
        <v>190</v>
      </c>
      <c r="Q2" s="230"/>
      <c r="R2" s="230">
        <v>34381</v>
      </c>
      <c r="S2" s="230"/>
      <c r="T2" s="230"/>
      <c r="U2" s="230"/>
      <c r="V2" s="230"/>
      <c r="W2" s="231"/>
    </row>
    <row r="3" spans="1:23" x14ac:dyDescent="0.25">
      <c r="A3" s="224"/>
      <c r="B3" s="225"/>
      <c r="C3" s="225"/>
      <c r="D3" s="225"/>
      <c r="E3" s="226"/>
      <c r="F3" s="232" t="s">
        <v>191</v>
      </c>
      <c r="G3" s="233"/>
      <c r="H3" s="233"/>
      <c r="I3" s="233"/>
      <c r="J3" s="233"/>
      <c r="K3" s="233"/>
      <c r="L3" s="233"/>
      <c r="M3" s="233"/>
      <c r="N3" s="233"/>
      <c r="O3" s="233"/>
      <c r="P3" s="229" t="s">
        <v>192</v>
      </c>
      <c r="Q3" s="230"/>
      <c r="R3" s="234">
        <v>40650</v>
      </c>
      <c r="S3" s="230"/>
      <c r="T3" s="230"/>
      <c r="U3" s="230"/>
      <c r="V3" s="230"/>
      <c r="W3" s="231"/>
    </row>
    <row r="4" spans="1:23" x14ac:dyDescent="0.25">
      <c r="A4" s="224"/>
      <c r="B4" s="225"/>
      <c r="C4" s="225"/>
      <c r="D4" s="225"/>
      <c r="E4" s="226"/>
      <c r="F4" s="232"/>
      <c r="G4" s="233"/>
      <c r="H4" s="233"/>
      <c r="I4" s="233"/>
      <c r="J4" s="233"/>
      <c r="K4" s="233"/>
      <c r="L4" s="233"/>
      <c r="M4" s="233"/>
      <c r="N4" s="233"/>
      <c r="O4" s="233"/>
      <c r="P4" s="235"/>
      <c r="Q4" s="236"/>
      <c r="R4" s="236"/>
      <c r="S4" s="236"/>
      <c r="T4" s="230"/>
      <c r="U4" s="230"/>
      <c r="V4" s="230"/>
      <c r="W4" s="231"/>
    </row>
    <row r="5" spans="1:23" ht="15.75" thickBot="1" x14ac:dyDescent="0.3">
      <c r="A5" s="237"/>
      <c r="B5" s="238"/>
      <c r="C5" s="238"/>
      <c r="D5" s="238"/>
      <c r="E5" s="239"/>
      <c r="F5" s="240"/>
      <c r="G5" s="241"/>
      <c r="H5" s="241"/>
      <c r="I5" s="241"/>
      <c r="J5" s="241"/>
      <c r="K5" s="241"/>
      <c r="L5" s="241"/>
      <c r="M5" s="241"/>
      <c r="N5" s="241"/>
      <c r="O5" s="241"/>
      <c r="P5" s="242" t="s">
        <v>193</v>
      </c>
      <c r="Q5" s="243"/>
      <c r="R5" s="243"/>
      <c r="S5" s="243"/>
      <c r="T5" s="244">
        <v>45767</v>
      </c>
      <c r="U5" s="243"/>
      <c r="V5" s="243"/>
      <c r="W5" s="245"/>
    </row>
    <row r="6" spans="1:23" ht="18.75" x14ac:dyDescent="0.25">
      <c r="A6" s="246"/>
      <c r="B6" s="246"/>
      <c r="C6" s="246"/>
      <c r="D6" s="246"/>
      <c r="E6" s="246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8"/>
      <c r="Q6" s="248"/>
      <c r="R6" s="248"/>
      <c r="S6" s="248"/>
      <c r="T6" s="249"/>
      <c r="U6" s="248"/>
      <c r="V6" s="248"/>
      <c r="W6" s="248"/>
    </row>
    <row r="7" spans="1:23" ht="23.25" x14ac:dyDescent="0.35">
      <c r="A7" s="250"/>
      <c r="B7" s="251"/>
      <c r="C7" s="248"/>
      <c r="D7" s="248"/>
      <c r="E7" s="248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8"/>
      <c r="Q7" s="248"/>
      <c r="R7" s="248"/>
      <c r="S7" s="248"/>
      <c r="T7" s="249"/>
      <c r="U7" s="248"/>
      <c r="V7" s="248"/>
      <c r="W7" s="248"/>
    </row>
    <row r="8" spans="1:23" ht="23.25" x14ac:dyDescent="0.35">
      <c r="A8" s="250"/>
      <c r="B8" s="251"/>
      <c r="C8" s="248"/>
      <c r="D8" s="248"/>
      <c r="E8" s="246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8"/>
      <c r="Q8" s="248"/>
      <c r="R8" s="248"/>
      <c r="S8" s="248"/>
      <c r="T8" s="249"/>
      <c r="U8" s="248"/>
      <c r="V8" s="248"/>
      <c r="W8" s="248"/>
    </row>
    <row r="9" spans="1:23" ht="18.75" x14ac:dyDescent="0.25">
      <c r="A9" s="246"/>
      <c r="B9" s="246"/>
      <c r="C9" s="246"/>
      <c r="D9" s="246"/>
      <c r="E9" s="246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8"/>
      <c r="Q9" s="248"/>
      <c r="R9" s="248"/>
      <c r="S9" s="248"/>
      <c r="T9" s="249"/>
      <c r="U9" s="248"/>
      <c r="V9" s="248"/>
      <c r="W9" s="248"/>
    </row>
    <row r="10" spans="1:23" x14ac:dyDescent="0.25">
      <c r="T10" s="225"/>
      <c r="U10" s="225"/>
      <c r="V10" s="225"/>
      <c r="W10" s="225"/>
    </row>
    <row r="11" spans="1:23" ht="15.75" thickBot="1" x14ac:dyDescent="0.3"/>
    <row r="12" spans="1:23" ht="15.75" thickBot="1" x14ac:dyDescent="0.3">
      <c r="A12" s="252" t="s">
        <v>194</v>
      </c>
      <c r="B12" s="253"/>
      <c r="C12" s="253"/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3"/>
      <c r="V12" s="253"/>
      <c r="W12" s="254"/>
    </row>
    <row r="13" spans="1:23" ht="15.75" thickBot="1" x14ac:dyDescent="0.3"/>
    <row r="14" spans="1:23" ht="15.75" thickBot="1" x14ac:dyDescent="0.3">
      <c r="F14" s="255" t="s">
        <v>195</v>
      </c>
      <c r="G14" s="256"/>
      <c r="H14" s="256"/>
      <c r="I14" s="257"/>
      <c r="J14" s="258" t="s">
        <v>196</v>
      </c>
      <c r="K14" s="259"/>
      <c r="L14" s="259"/>
      <c r="M14" s="260"/>
      <c r="N14" s="255" t="s">
        <v>197</v>
      </c>
      <c r="O14" s="256"/>
      <c r="P14" s="256"/>
      <c r="Q14" s="256"/>
      <c r="R14" s="257"/>
    </row>
    <row r="15" spans="1:23" ht="15.75" thickBot="1" x14ac:dyDescent="0.3">
      <c r="F15" s="261"/>
      <c r="G15" s="262"/>
      <c r="H15" s="262"/>
      <c r="I15" s="263"/>
      <c r="J15" s="264" t="s">
        <v>198</v>
      </c>
      <c r="K15" s="260"/>
      <c r="L15" s="259" t="s">
        <v>199</v>
      </c>
      <c r="M15" s="260"/>
      <c r="N15" s="261"/>
      <c r="O15" s="262"/>
      <c r="P15" s="262"/>
      <c r="Q15" s="262"/>
      <c r="R15" s="263"/>
    </row>
    <row r="16" spans="1:23" x14ac:dyDescent="0.25">
      <c r="F16" s="265" t="s">
        <v>200</v>
      </c>
      <c r="G16" s="266"/>
      <c r="H16" s="266"/>
      <c r="I16" s="267"/>
      <c r="J16" s="268">
        <v>0</v>
      </c>
      <c r="K16" s="269"/>
      <c r="L16" s="270">
        <v>6</v>
      </c>
      <c r="M16" s="268"/>
      <c r="N16" s="265">
        <v>6</v>
      </c>
      <c r="O16" s="266"/>
      <c r="P16" s="266"/>
      <c r="Q16" s="266"/>
      <c r="R16" s="267"/>
    </row>
    <row r="17" spans="1:23" x14ac:dyDescent="0.25">
      <c r="F17" s="271" t="s">
        <v>201</v>
      </c>
      <c r="G17" s="272"/>
      <c r="H17" s="272"/>
      <c r="I17" s="273"/>
      <c r="J17" s="274">
        <v>0</v>
      </c>
      <c r="K17" s="275"/>
      <c r="L17" s="276">
        <v>80</v>
      </c>
      <c r="M17" s="274"/>
      <c r="N17" s="271">
        <v>66</v>
      </c>
      <c r="O17" s="272"/>
      <c r="P17" s="272"/>
      <c r="Q17" s="272"/>
      <c r="R17" s="273"/>
    </row>
    <row r="18" spans="1:23" x14ac:dyDescent="0.25">
      <c r="F18" s="271" t="s">
        <v>202</v>
      </c>
      <c r="G18" s="272"/>
      <c r="H18" s="272"/>
      <c r="I18" s="273"/>
      <c r="J18" s="274">
        <v>1.08</v>
      </c>
      <c r="K18" s="275"/>
      <c r="L18" s="276">
        <v>1.3</v>
      </c>
      <c r="M18" s="274"/>
      <c r="N18" s="277">
        <v>1.1200000000000001</v>
      </c>
      <c r="O18" s="278"/>
      <c r="P18" s="278"/>
      <c r="Q18" s="278"/>
      <c r="R18" s="279"/>
    </row>
    <row r="19" spans="1:23" x14ac:dyDescent="0.25">
      <c r="F19" s="271" t="s">
        <v>203</v>
      </c>
      <c r="G19" s="272"/>
      <c r="H19" s="272"/>
      <c r="I19" s="273"/>
      <c r="J19" s="280">
        <v>33</v>
      </c>
      <c r="K19" s="275"/>
      <c r="L19" s="276">
        <v>44</v>
      </c>
      <c r="M19" s="274"/>
      <c r="N19" s="277">
        <v>36.75</v>
      </c>
      <c r="O19" s="278"/>
      <c r="P19" s="278"/>
      <c r="Q19" s="278"/>
      <c r="R19" s="279"/>
    </row>
    <row r="20" spans="1:23" x14ac:dyDescent="0.25">
      <c r="F20" s="271" t="s">
        <v>204</v>
      </c>
      <c r="G20" s="272"/>
      <c r="H20" s="272"/>
      <c r="I20" s="273"/>
      <c r="J20" s="280">
        <v>2</v>
      </c>
      <c r="K20" s="275"/>
      <c r="L20" s="276">
        <v>4.5</v>
      </c>
      <c r="M20" s="274"/>
      <c r="N20" s="277">
        <v>2.4</v>
      </c>
      <c r="O20" s="278"/>
      <c r="P20" s="278"/>
      <c r="Q20" s="278"/>
      <c r="R20" s="279"/>
    </row>
    <row r="21" spans="1:23" ht="15.75" thickBot="1" x14ac:dyDescent="0.3">
      <c r="F21" s="281" t="s">
        <v>136</v>
      </c>
      <c r="G21" s="282"/>
      <c r="H21" s="282"/>
      <c r="I21" s="283"/>
      <c r="J21" s="284">
        <v>5.8</v>
      </c>
      <c r="K21" s="285"/>
      <c r="L21" s="286">
        <v>7</v>
      </c>
      <c r="M21" s="287"/>
      <c r="N21" s="288">
        <v>6.15</v>
      </c>
      <c r="O21" s="289"/>
      <c r="P21" s="289"/>
      <c r="Q21" s="289"/>
      <c r="R21" s="290"/>
    </row>
    <row r="22" spans="1:23" x14ac:dyDescent="0.25">
      <c r="F22" s="246"/>
      <c r="G22" s="246"/>
      <c r="H22" s="246"/>
      <c r="I22" s="246"/>
      <c r="J22" s="246"/>
      <c r="K22" s="246"/>
      <c r="L22" s="246"/>
      <c r="M22" s="246"/>
      <c r="N22" s="246"/>
      <c r="O22" s="246"/>
      <c r="P22" s="246"/>
      <c r="Q22" s="246"/>
      <c r="R22" s="246"/>
    </row>
    <row r="23" spans="1:23" x14ac:dyDescent="0.25">
      <c r="F23" s="246"/>
      <c r="G23" s="246"/>
      <c r="H23" s="246"/>
      <c r="I23" s="246"/>
      <c r="J23" s="246"/>
      <c r="K23" s="246"/>
      <c r="L23" s="246"/>
      <c r="M23" s="246"/>
      <c r="N23" s="246"/>
      <c r="O23" s="246"/>
      <c r="P23" s="246"/>
      <c r="Q23" s="246"/>
      <c r="R23" s="246"/>
    </row>
    <row r="24" spans="1:23" ht="15.75" thickBot="1" x14ac:dyDescent="0.3"/>
    <row r="25" spans="1:23" ht="15.75" thickBot="1" x14ac:dyDescent="0.3">
      <c r="A25" s="252" t="s">
        <v>205</v>
      </c>
      <c r="B25" s="253"/>
      <c r="C25" s="253"/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4"/>
    </row>
    <row r="27" spans="1:23" x14ac:dyDescent="0.25">
      <c r="E27" s="225"/>
      <c r="F27" s="225"/>
      <c r="G27" s="225"/>
      <c r="H27" s="225"/>
      <c r="I27" s="225"/>
      <c r="J27" s="225"/>
      <c r="K27" s="225"/>
      <c r="L27" s="225"/>
      <c r="M27" s="225"/>
      <c r="N27" s="225"/>
      <c r="O27" s="225"/>
      <c r="P27" s="225"/>
      <c r="Q27" s="225"/>
      <c r="R27" s="225"/>
      <c r="S27" s="225"/>
    </row>
    <row r="28" spans="1:23" ht="15.75" thickBot="1" x14ac:dyDescent="0.3">
      <c r="E28" s="225"/>
      <c r="F28" s="225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  <c r="S28" s="225"/>
    </row>
    <row r="29" spans="1:23" ht="15.75" thickBot="1" x14ac:dyDescent="0.3">
      <c r="E29" s="264" t="s">
        <v>206</v>
      </c>
      <c r="F29" s="259"/>
      <c r="G29" s="259"/>
      <c r="H29" s="259"/>
      <c r="I29" s="259"/>
      <c r="J29" s="259"/>
      <c r="K29" s="259"/>
      <c r="L29" s="259"/>
      <c r="M29" s="259"/>
      <c r="N29" s="259"/>
      <c r="O29" s="259"/>
      <c r="P29" s="259"/>
      <c r="Q29" s="259"/>
      <c r="R29" s="259"/>
      <c r="S29" s="260"/>
    </row>
    <row r="30" spans="1:23" x14ac:dyDescent="0.25"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</row>
    <row r="31" spans="1:23" x14ac:dyDescent="0.25">
      <c r="E31" s="225"/>
      <c r="F31" s="225"/>
      <c r="G31" s="225"/>
      <c r="H31" s="225"/>
      <c r="I31" s="225"/>
      <c r="J31" s="225"/>
      <c r="K31" s="225"/>
      <c r="L31" s="225"/>
      <c r="M31" s="225"/>
      <c r="N31" s="225"/>
      <c r="O31" s="225"/>
      <c r="P31" s="225"/>
      <c r="Q31" s="225"/>
      <c r="R31" s="225"/>
      <c r="S31" s="225"/>
    </row>
    <row r="32" spans="1:23" x14ac:dyDescent="0.25"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</row>
    <row r="33" spans="1:23" x14ac:dyDescent="0.25"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</row>
    <row r="35" spans="1:23" ht="15.75" thickBot="1" x14ac:dyDescent="0.3"/>
    <row r="36" spans="1:23" ht="15.75" thickBot="1" x14ac:dyDescent="0.3">
      <c r="A36" s="252" t="s">
        <v>207</v>
      </c>
      <c r="B36" s="253"/>
      <c r="C36" s="253"/>
      <c r="D36" s="253"/>
      <c r="E36" s="253"/>
      <c r="F36" s="253"/>
      <c r="G36" s="253"/>
      <c r="H36" s="253"/>
      <c r="I36" s="253"/>
      <c r="J36" s="253"/>
      <c r="K36" s="253"/>
      <c r="L36" s="253"/>
      <c r="M36" s="253"/>
      <c r="N36" s="253"/>
      <c r="O36" s="253"/>
      <c r="P36" s="253"/>
      <c r="Q36" s="253"/>
      <c r="R36" s="253"/>
      <c r="S36" s="253"/>
      <c r="T36" s="253"/>
      <c r="U36" s="253"/>
      <c r="V36" s="253"/>
      <c r="W36" s="254"/>
    </row>
    <row r="37" spans="1:23" ht="15.75" thickBot="1" x14ac:dyDescent="0.3"/>
    <row r="38" spans="1:23" ht="15.75" thickBot="1" x14ac:dyDescent="0.3">
      <c r="D38" s="292" t="s">
        <v>195</v>
      </c>
      <c r="E38" s="293"/>
      <c r="F38" s="293"/>
      <c r="G38" s="294"/>
      <c r="H38" s="292" t="s">
        <v>196</v>
      </c>
      <c r="I38" s="293"/>
      <c r="J38" s="293"/>
      <c r="K38" s="293"/>
      <c r="L38" s="293"/>
      <c r="M38" s="293"/>
      <c r="N38" s="293"/>
      <c r="O38" s="294"/>
      <c r="P38" s="292" t="s">
        <v>197</v>
      </c>
      <c r="Q38" s="293"/>
      <c r="R38" s="293"/>
      <c r="S38" s="293"/>
      <c r="T38" s="294"/>
    </row>
    <row r="39" spans="1:23" x14ac:dyDescent="0.25">
      <c r="D39" s="265" t="s">
        <v>208</v>
      </c>
      <c r="E39" s="266"/>
      <c r="F39" s="266"/>
      <c r="G39" s="267"/>
      <c r="H39" s="265" t="s">
        <v>209</v>
      </c>
      <c r="I39" s="266"/>
      <c r="J39" s="266"/>
      <c r="K39" s="266"/>
      <c r="L39" s="266"/>
      <c r="M39" s="266"/>
      <c r="N39" s="266"/>
      <c r="O39" s="267"/>
      <c r="P39" s="265" t="s">
        <v>210</v>
      </c>
      <c r="Q39" s="266"/>
      <c r="R39" s="266"/>
      <c r="S39" s="266"/>
      <c r="T39" s="267"/>
    </row>
    <row r="40" spans="1:23" x14ac:dyDescent="0.25">
      <c r="D40" s="271" t="s">
        <v>211</v>
      </c>
      <c r="E40" s="272"/>
      <c r="F40" s="272"/>
      <c r="G40" s="273"/>
      <c r="H40" s="271" t="s">
        <v>212</v>
      </c>
      <c r="I40" s="272"/>
      <c r="J40" s="272"/>
      <c r="K40" s="272"/>
      <c r="L40" s="272"/>
      <c r="M40" s="272"/>
      <c r="N40" s="272"/>
      <c r="O40" s="273"/>
      <c r="P40" s="271" t="s">
        <v>210</v>
      </c>
      <c r="Q40" s="272"/>
      <c r="R40" s="272"/>
      <c r="S40" s="272"/>
      <c r="T40" s="273"/>
    </row>
    <row r="41" spans="1:23" x14ac:dyDescent="0.25">
      <c r="D41" s="271" t="s">
        <v>213</v>
      </c>
      <c r="E41" s="272"/>
      <c r="F41" s="272"/>
      <c r="G41" s="273"/>
      <c r="H41" s="271" t="s">
        <v>214</v>
      </c>
      <c r="I41" s="272"/>
      <c r="J41" s="272"/>
      <c r="K41" s="272"/>
      <c r="L41" s="272"/>
      <c r="M41" s="272"/>
      <c r="N41" s="272"/>
      <c r="O41" s="273"/>
      <c r="P41" s="271" t="s">
        <v>210</v>
      </c>
      <c r="Q41" s="272"/>
      <c r="R41" s="272"/>
      <c r="S41" s="272"/>
      <c r="T41" s="273"/>
    </row>
    <row r="42" spans="1:23" x14ac:dyDescent="0.25">
      <c r="D42" s="280" t="s">
        <v>215</v>
      </c>
      <c r="E42" s="274"/>
      <c r="F42" s="274"/>
      <c r="G42" s="295"/>
      <c r="H42" s="280" t="s">
        <v>216</v>
      </c>
      <c r="I42" s="274"/>
      <c r="J42" s="274"/>
      <c r="K42" s="274"/>
      <c r="L42" s="274"/>
      <c r="M42" s="274"/>
      <c r="N42" s="274"/>
      <c r="O42" s="295"/>
      <c r="P42" s="280" t="s">
        <v>210</v>
      </c>
      <c r="Q42" s="274"/>
      <c r="R42" s="274"/>
      <c r="S42" s="274"/>
      <c r="T42" s="295"/>
    </row>
    <row r="43" spans="1:23" ht="15.75" thickBot="1" x14ac:dyDescent="0.3">
      <c r="D43" s="296" t="s">
        <v>217</v>
      </c>
      <c r="E43" s="297"/>
      <c r="F43" s="297"/>
      <c r="G43" s="298"/>
      <c r="H43" s="296" t="s">
        <v>218</v>
      </c>
      <c r="I43" s="297"/>
      <c r="J43" s="297"/>
      <c r="K43" s="297"/>
      <c r="L43" s="297"/>
      <c r="M43" s="297"/>
      <c r="N43" s="297"/>
      <c r="O43" s="298"/>
      <c r="P43" s="281" t="s">
        <v>210</v>
      </c>
      <c r="Q43" s="282"/>
      <c r="R43" s="282"/>
      <c r="S43" s="282"/>
      <c r="T43" s="283"/>
    </row>
    <row r="46" spans="1:23" x14ac:dyDescent="0.25">
      <c r="E46" s="246"/>
      <c r="F46" s="246"/>
      <c r="G46" s="246"/>
      <c r="H46" s="246"/>
      <c r="I46" s="246"/>
      <c r="J46" s="246"/>
      <c r="K46" s="246"/>
      <c r="L46" s="246"/>
      <c r="M46" s="246"/>
      <c r="O46" s="246"/>
      <c r="P46" s="246"/>
      <c r="Q46" s="246"/>
      <c r="R46" s="246"/>
      <c r="S46" s="246"/>
    </row>
    <row r="47" spans="1:23" x14ac:dyDescent="0.25">
      <c r="E47" s="246"/>
      <c r="F47" s="246"/>
      <c r="G47" s="246"/>
      <c r="H47" s="246"/>
      <c r="I47" s="246"/>
      <c r="J47" s="246"/>
      <c r="K47" s="246"/>
      <c r="L47" s="246"/>
      <c r="M47" s="246"/>
      <c r="O47" s="246"/>
      <c r="P47" s="246"/>
      <c r="Q47" s="246"/>
      <c r="R47" s="246"/>
      <c r="S47" s="246"/>
    </row>
    <row r="48" spans="1:23" x14ac:dyDescent="0.25">
      <c r="E48" s="246"/>
      <c r="F48" s="246"/>
      <c r="G48" s="246"/>
      <c r="H48" s="246"/>
      <c r="I48" s="246"/>
      <c r="J48" s="246"/>
      <c r="K48" s="246"/>
      <c r="L48" s="246"/>
      <c r="M48" s="246"/>
      <c r="O48" s="246"/>
      <c r="P48" s="246"/>
      <c r="Q48" s="246"/>
      <c r="R48" s="246"/>
      <c r="S48" s="246"/>
    </row>
    <row r="49" spans="5:19" ht="15.75" thickBot="1" x14ac:dyDescent="0.3">
      <c r="E49" s="246"/>
      <c r="F49" s="246"/>
      <c r="G49" s="246"/>
      <c r="H49" s="246"/>
      <c r="I49" s="299"/>
      <c r="J49" s="299"/>
      <c r="K49" s="299"/>
      <c r="L49" s="299"/>
      <c r="M49" s="299"/>
      <c r="N49" s="299"/>
      <c r="O49" s="299"/>
      <c r="P49" s="246"/>
      <c r="Q49" s="246"/>
      <c r="R49" s="246"/>
      <c r="S49" s="246"/>
    </row>
    <row r="50" spans="5:19" x14ac:dyDescent="0.25">
      <c r="E50" s="225" t="s">
        <v>219</v>
      </c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</row>
    <row r="51" spans="5:19" x14ac:dyDescent="0.25">
      <c r="E51" s="225"/>
      <c r="F51" s="225"/>
      <c r="G51" s="225"/>
      <c r="H51" s="225"/>
      <c r="I51" s="225"/>
      <c r="J51" s="225" t="s">
        <v>220</v>
      </c>
      <c r="K51" s="225"/>
      <c r="L51" s="225"/>
      <c r="M51" s="225"/>
      <c r="O51" s="225"/>
      <c r="P51" s="225"/>
      <c r="Q51" s="225"/>
      <c r="R51" s="225"/>
      <c r="S51" s="225"/>
    </row>
  </sheetData>
  <mergeCells count="84">
    <mergeCell ref="D43:G43"/>
    <mergeCell ref="H43:O43"/>
    <mergeCell ref="P43:T43"/>
    <mergeCell ref="E50:S50"/>
    <mergeCell ref="E51:I51"/>
    <mergeCell ref="J51:M51"/>
    <mergeCell ref="O51:S51"/>
    <mergeCell ref="D41:G41"/>
    <mergeCell ref="H41:O41"/>
    <mergeCell ref="P41:T41"/>
    <mergeCell ref="D42:G42"/>
    <mergeCell ref="H42:O42"/>
    <mergeCell ref="P42:T42"/>
    <mergeCell ref="D39:G39"/>
    <mergeCell ref="H39:O39"/>
    <mergeCell ref="P39:T39"/>
    <mergeCell ref="D40:G40"/>
    <mergeCell ref="H40:O40"/>
    <mergeCell ref="P40:T40"/>
    <mergeCell ref="E32:I32"/>
    <mergeCell ref="J32:N32"/>
    <mergeCell ref="O32:S32"/>
    <mergeCell ref="A36:W36"/>
    <mergeCell ref="D38:G38"/>
    <mergeCell ref="H38:O38"/>
    <mergeCell ref="P38:T38"/>
    <mergeCell ref="E29:S29"/>
    <mergeCell ref="E30:I30"/>
    <mergeCell ref="J30:N30"/>
    <mergeCell ref="O30:S30"/>
    <mergeCell ref="E31:I31"/>
    <mergeCell ref="J31:N31"/>
    <mergeCell ref="O31:S31"/>
    <mergeCell ref="A25:W25"/>
    <mergeCell ref="E27:I27"/>
    <mergeCell ref="J27:N27"/>
    <mergeCell ref="O27:S27"/>
    <mergeCell ref="E28:I28"/>
    <mergeCell ref="J28:N28"/>
    <mergeCell ref="O28:S28"/>
    <mergeCell ref="F20:I20"/>
    <mergeCell ref="J20:K20"/>
    <mergeCell ref="L20:M20"/>
    <mergeCell ref="N20:R20"/>
    <mergeCell ref="F21:I21"/>
    <mergeCell ref="J21:K21"/>
    <mergeCell ref="L21:M21"/>
    <mergeCell ref="N21:R21"/>
    <mergeCell ref="F18:I18"/>
    <mergeCell ref="J18:K18"/>
    <mergeCell ref="L18:M18"/>
    <mergeCell ref="N18:R18"/>
    <mergeCell ref="F19:I19"/>
    <mergeCell ref="J19:K19"/>
    <mergeCell ref="L19:M19"/>
    <mergeCell ref="N19:R19"/>
    <mergeCell ref="F16:I16"/>
    <mergeCell ref="J16:K16"/>
    <mergeCell ref="L16:M16"/>
    <mergeCell ref="N16:R16"/>
    <mergeCell ref="F17:I17"/>
    <mergeCell ref="J17:K17"/>
    <mergeCell ref="L17:M17"/>
    <mergeCell ref="N17:R17"/>
    <mergeCell ref="T4:W4"/>
    <mergeCell ref="P5:S5"/>
    <mergeCell ref="T5:W5"/>
    <mergeCell ref="T10:W10"/>
    <mergeCell ref="A12:W12"/>
    <mergeCell ref="F14:I15"/>
    <mergeCell ref="J14:M14"/>
    <mergeCell ref="N14:R15"/>
    <mergeCell ref="J15:K15"/>
    <mergeCell ref="L15:M15"/>
    <mergeCell ref="A1:E5"/>
    <mergeCell ref="F1:O2"/>
    <mergeCell ref="P1:S1"/>
    <mergeCell ref="T1:W1"/>
    <mergeCell ref="P2:Q2"/>
    <mergeCell ref="R2:W2"/>
    <mergeCell ref="F3:O5"/>
    <mergeCell ref="P3:Q3"/>
    <mergeCell ref="R3:W3"/>
    <mergeCell ref="P4:S4"/>
  </mergeCells>
  <pageMargins left="0.70866141732283472" right="0.70866141732283472" top="0.74803149606299213" bottom="0.74803149606299213" header="0.31496062992125984" footer="0.31496062992125984"/>
  <pageSetup scale="79" orientation="portrait" r:id="rId1"/>
  <headerFooter>
    <oddFooter>&amp;L&amp;"-,Negrita"Carr. Panamericana Km.442 Tramo Lagos Leon 
Cañada de Ricos, Entre camino a Comanja y
 Rio el Huaricho&amp;C&amp;"-,Negrita"Productos La Sauceda S.A de C.V.
 Derivados Lacteos
&amp;R&amp;"-,Negrita"
Lagos de Moreno, Jalisco.
C.P 47450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187F6-6E13-4A49-86EC-FD37AF08461A}">
  <sheetPr codeName="Hoja11"/>
  <dimension ref="A1:AF10"/>
  <sheetViews>
    <sheetView topLeftCell="M1" workbookViewId="0">
      <selection activeCell="F26" sqref="F26"/>
    </sheetView>
  </sheetViews>
  <sheetFormatPr baseColWidth="10" defaultRowHeight="15" x14ac:dyDescent="0.25"/>
  <cols>
    <col min="1" max="1" width="17" customWidth="1"/>
    <col min="3" max="3" width="13.5703125" bestFit="1" customWidth="1"/>
    <col min="4" max="4" width="10.5703125" bestFit="1" customWidth="1"/>
    <col min="5" max="5" width="12" bestFit="1" customWidth="1"/>
    <col min="6" max="7" width="11.85546875" customWidth="1"/>
    <col min="8" max="8" width="16.28515625" bestFit="1" customWidth="1"/>
    <col min="9" max="10" width="11.85546875" customWidth="1"/>
    <col min="12" max="13" width="19.85546875" customWidth="1"/>
    <col min="14" max="14" width="20.85546875" customWidth="1"/>
    <col min="15" max="15" width="18.28515625" customWidth="1"/>
    <col min="16" max="16" width="17.7109375" customWidth="1"/>
    <col min="17" max="17" width="17.5703125" customWidth="1"/>
    <col min="18" max="18" width="6.85546875" bestFit="1" customWidth="1"/>
    <col min="19" max="19" width="16.5703125" bestFit="1" customWidth="1"/>
    <col min="20" max="21" width="15.7109375" bestFit="1" customWidth="1"/>
    <col min="22" max="22" width="10" bestFit="1" customWidth="1"/>
    <col min="23" max="23" width="13.5703125" bestFit="1" customWidth="1"/>
    <col min="24" max="24" width="7" customWidth="1"/>
    <col min="25" max="25" width="17.42578125" customWidth="1"/>
    <col min="26" max="26" width="11" bestFit="1" customWidth="1"/>
    <col min="29" max="29" width="16.5703125" bestFit="1" customWidth="1"/>
  </cols>
  <sheetData>
    <row r="1" spans="1:32" ht="17.2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1"/>
    </row>
    <row r="2" spans="1:32" ht="16.5" thickBot="1" x14ac:dyDescent="0.3">
      <c r="A2" s="12"/>
      <c r="B2" s="82" t="s">
        <v>37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4"/>
    </row>
    <row r="3" spans="1:32" ht="27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8"/>
    </row>
    <row r="4" spans="1:32" ht="12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0"/>
      <c r="K4" s="20"/>
      <c r="L4" s="20"/>
      <c r="M4" s="20"/>
      <c r="N4" s="20"/>
      <c r="O4" s="21"/>
      <c r="P4" s="19" t="s">
        <v>41</v>
      </c>
      <c r="Q4" s="20"/>
      <c r="R4" s="20"/>
      <c r="S4" s="20"/>
      <c r="T4" s="20"/>
      <c r="U4" s="21"/>
      <c r="V4" s="66" t="s">
        <v>42</v>
      </c>
      <c r="W4" s="85"/>
      <c r="X4" s="85"/>
      <c r="Y4" s="85"/>
      <c r="Z4" s="67"/>
    </row>
    <row r="5" spans="1:32" ht="17.2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5"/>
      <c r="K5" s="25"/>
      <c r="L5" s="25"/>
      <c r="M5" s="25"/>
      <c r="N5" s="25"/>
      <c r="O5" s="26"/>
      <c r="P5" s="24" t="s">
        <v>44</v>
      </c>
      <c r="Q5" s="25"/>
      <c r="R5" s="25"/>
      <c r="S5" s="25"/>
      <c r="T5" s="25"/>
      <c r="U5" s="26"/>
      <c r="V5" s="69"/>
      <c r="W5" s="22"/>
      <c r="X5" s="22"/>
      <c r="Y5" s="22"/>
      <c r="Z5" s="23"/>
    </row>
    <row r="6" spans="1:32" ht="15.75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2"/>
      <c r="K6" s="32"/>
      <c r="L6" s="32"/>
      <c r="M6" s="32"/>
      <c r="N6" s="32"/>
      <c r="O6" s="33"/>
      <c r="P6" s="31"/>
      <c r="Q6" s="32"/>
      <c r="R6" s="32"/>
      <c r="S6" s="32"/>
      <c r="T6" s="32"/>
      <c r="U6" s="33"/>
      <c r="V6" s="70"/>
      <c r="W6" s="37"/>
      <c r="X6" s="37"/>
      <c r="Y6" s="37"/>
      <c r="Z6" s="38"/>
    </row>
    <row r="7" spans="1:32" ht="15.75" hidden="1" thickBot="1" x14ac:dyDescent="0.3">
      <c r="A7" s="1">
        <f ca="1">TODAY()</f>
        <v>45822</v>
      </c>
      <c r="C7" t="s">
        <v>115</v>
      </c>
      <c r="D7" s="40" t="s">
        <v>45</v>
      </c>
      <c r="F7" s="71" t="s">
        <v>73</v>
      </c>
      <c r="G7" s="71"/>
      <c r="H7" s="71"/>
      <c r="I7" s="71"/>
      <c r="J7" s="71"/>
      <c r="U7" s="1">
        <f ca="1">TODAY()</f>
        <v>45822</v>
      </c>
    </row>
    <row r="8" spans="1:32" ht="30.75" thickBot="1" x14ac:dyDescent="0.3">
      <c r="A8" s="93" t="s">
        <v>46</v>
      </c>
      <c r="B8" s="93" t="s">
        <v>47</v>
      </c>
      <c r="C8" s="93" t="s">
        <v>116</v>
      </c>
      <c r="D8" s="93" t="s">
        <v>117</v>
      </c>
      <c r="E8" s="93" t="s">
        <v>48</v>
      </c>
      <c r="F8" s="93" t="s">
        <v>118</v>
      </c>
      <c r="G8" s="93" t="s">
        <v>119</v>
      </c>
      <c r="H8" s="93" t="s">
        <v>120</v>
      </c>
      <c r="I8" s="93" t="s">
        <v>121</v>
      </c>
      <c r="J8" s="93" t="s">
        <v>122</v>
      </c>
      <c r="K8" s="93" t="s">
        <v>51</v>
      </c>
      <c r="L8" s="44" t="s">
        <v>123</v>
      </c>
      <c r="M8" s="44" t="s">
        <v>124</v>
      </c>
      <c r="N8" s="44" t="s">
        <v>125</v>
      </c>
      <c r="O8" s="44" t="s">
        <v>126</v>
      </c>
      <c r="P8" s="44" t="s">
        <v>127</v>
      </c>
      <c r="Q8" s="44" t="s">
        <v>128</v>
      </c>
      <c r="R8" s="44" t="s">
        <v>129</v>
      </c>
      <c r="S8" s="44" t="s">
        <v>131</v>
      </c>
      <c r="T8" s="57" t="s">
        <v>132</v>
      </c>
      <c r="U8" s="45" t="s">
        <v>133</v>
      </c>
      <c r="V8" s="45" t="s">
        <v>187</v>
      </c>
      <c r="W8" s="87" t="s">
        <v>135</v>
      </c>
      <c r="X8" s="94" t="s">
        <v>136</v>
      </c>
      <c r="Y8" s="94" t="s">
        <v>137</v>
      </c>
      <c r="Z8" s="94" t="s">
        <v>138</v>
      </c>
      <c r="AA8" s="95" t="s">
        <v>139</v>
      </c>
      <c r="AB8" s="95" t="s">
        <v>69</v>
      </c>
      <c r="AC8" s="95" t="s">
        <v>140</v>
      </c>
      <c r="AD8" s="96" t="s">
        <v>141</v>
      </c>
      <c r="AE8" s="96" t="s">
        <v>142</v>
      </c>
      <c r="AF8" s="96" t="s">
        <v>143</v>
      </c>
    </row>
    <row r="9" spans="1:32" x14ac:dyDescent="0.25">
      <c r="A9" s="212">
        <v>45717</v>
      </c>
      <c r="B9" s="99"/>
      <c r="C9" s="99"/>
      <c r="D9" s="99"/>
      <c r="E9" s="99"/>
      <c r="F9" s="99"/>
      <c r="G9" s="213"/>
      <c r="H9" s="213"/>
      <c r="I9" s="213"/>
      <c r="J9" s="213"/>
      <c r="K9" s="99"/>
      <c r="L9" s="99"/>
      <c r="M9" s="99"/>
      <c r="N9" s="99"/>
      <c r="O9" s="99"/>
      <c r="P9" s="99"/>
      <c r="Q9" s="99"/>
      <c r="R9" s="99"/>
      <c r="S9" s="99"/>
      <c r="T9" s="213"/>
      <c r="U9" s="99"/>
      <c r="V9" s="99"/>
      <c r="W9" s="99"/>
      <c r="X9" s="99"/>
      <c r="Y9" s="99"/>
      <c r="Z9" s="99"/>
      <c r="AA9" s="99"/>
      <c r="AB9" s="99"/>
      <c r="AC9" s="99"/>
      <c r="AD9" s="102"/>
      <c r="AE9" s="102"/>
      <c r="AF9" s="102"/>
    </row>
    <row r="10" spans="1:32" s="214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</sheetData>
  <mergeCells count="11">
    <mergeCell ref="P5:U6"/>
    <mergeCell ref="A1:A6"/>
    <mergeCell ref="B1:Z1"/>
    <mergeCell ref="B2:Z2"/>
    <mergeCell ref="B3:Z3"/>
    <mergeCell ref="B4:D4"/>
    <mergeCell ref="E4:O4"/>
    <mergeCell ref="P4:U4"/>
    <mergeCell ref="V4:Z6"/>
    <mergeCell ref="B5:D6"/>
    <mergeCell ref="E5:O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4FB86-BB10-40ED-91F9-7D8EF562C1CC}">
  <sheetPr codeName="Hoja20">
    <pageSetUpPr fitToPage="1"/>
  </sheetPr>
  <dimension ref="A1:P1004"/>
  <sheetViews>
    <sheetView view="pageBreakPreview" zoomScale="30" zoomScaleNormal="50" zoomScaleSheetLayoutView="30" workbookViewId="0">
      <selection activeCell="C26" sqref="C26:F26"/>
    </sheetView>
  </sheetViews>
  <sheetFormatPr baseColWidth="10" defaultRowHeight="15" x14ac:dyDescent="0.25"/>
  <cols>
    <col min="1" max="1" width="21.7109375" customWidth="1"/>
    <col min="2" max="2" width="29.5703125" customWidth="1"/>
    <col min="3" max="3" width="31.5703125" customWidth="1"/>
    <col min="4" max="4" width="25.7109375" customWidth="1"/>
    <col min="5" max="5" width="27.42578125" customWidth="1"/>
    <col min="6" max="6" width="30.85546875" customWidth="1"/>
    <col min="7" max="7" width="15.7109375" customWidth="1"/>
    <col min="8" max="9" width="20.7109375" customWidth="1"/>
    <col min="10" max="10" width="21.7109375" customWidth="1"/>
    <col min="11" max="11" width="29.5703125" customWidth="1"/>
    <col min="12" max="12" width="31.5703125" customWidth="1"/>
    <col min="13" max="13" width="25.7109375" customWidth="1"/>
    <col min="14" max="14" width="27.42578125" customWidth="1"/>
    <col min="15" max="15" width="30.85546875" customWidth="1"/>
    <col min="16" max="16" width="15.7109375" customWidth="1"/>
  </cols>
  <sheetData>
    <row r="1" spans="1:16" ht="29.25" customHeight="1" thickBot="1" x14ac:dyDescent="0.5">
      <c r="A1" s="103"/>
      <c r="B1" s="104"/>
      <c r="C1" s="105" t="s">
        <v>66</v>
      </c>
      <c r="D1" s="106"/>
      <c r="E1" s="106"/>
      <c r="F1" s="106"/>
      <c r="G1" s="107"/>
      <c r="H1" s="108"/>
      <c r="I1" s="109"/>
      <c r="J1" s="103"/>
      <c r="K1" s="104"/>
      <c r="L1" s="106" t="s">
        <v>66</v>
      </c>
      <c r="M1" s="106"/>
      <c r="N1" s="106"/>
      <c r="O1" s="106"/>
      <c r="P1" s="107"/>
    </row>
    <row r="2" spans="1:16" ht="29.25" customHeight="1" thickBot="1" x14ac:dyDescent="0.5">
      <c r="A2" s="110"/>
      <c r="B2" s="111"/>
      <c r="C2" s="112" t="s">
        <v>37</v>
      </c>
      <c r="D2" s="113"/>
      <c r="E2" s="113"/>
      <c r="F2" s="113"/>
      <c r="G2" s="114"/>
      <c r="H2" s="108"/>
      <c r="I2" s="109"/>
      <c r="J2" s="110"/>
      <c r="K2" s="111"/>
      <c r="L2" s="113" t="s">
        <v>37</v>
      </c>
      <c r="M2" s="113"/>
      <c r="N2" s="113"/>
      <c r="O2" s="113"/>
      <c r="P2" s="114"/>
    </row>
    <row r="3" spans="1:16" ht="29.25" customHeight="1" thickBot="1" x14ac:dyDescent="0.5">
      <c r="A3" s="115"/>
      <c r="B3" s="111"/>
      <c r="C3" s="112" t="s">
        <v>144</v>
      </c>
      <c r="D3" s="113"/>
      <c r="E3" s="113"/>
      <c r="F3" s="113"/>
      <c r="G3" s="114"/>
      <c r="H3" s="108"/>
      <c r="I3" s="109"/>
      <c r="J3" s="115"/>
      <c r="K3" s="111"/>
      <c r="L3" s="113" t="s">
        <v>144</v>
      </c>
      <c r="M3" s="113"/>
      <c r="N3" s="113"/>
      <c r="O3" s="113"/>
      <c r="P3" s="114"/>
    </row>
    <row r="4" spans="1:16" ht="57.75" customHeight="1" thickBot="1" x14ac:dyDescent="0.3">
      <c r="A4" s="110"/>
      <c r="B4" s="111"/>
      <c r="C4" s="116" t="s">
        <v>39</v>
      </c>
      <c r="D4" s="117" t="s">
        <v>40</v>
      </c>
      <c r="E4" s="117" t="s">
        <v>41</v>
      </c>
      <c r="F4" s="118" t="s">
        <v>145</v>
      </c>
      <c r="G4" s="119"/>
      <c r="H4" s="120"/>
      <c r="I4" s="121"/>
      <c r="J4" s="110"/>
      <c r="K4" s="111"/>
      <c r="L4" s="116" t="s">
        <v>39</v>
      </c>
      <c r="M4" s="117" t="s">
        <v>40</v>
      </c>
      <c r="N4" s="117" t="s">
        <v>41</v>
      </c>
      <c r="O4" s="118" t="s">
        <v>145</v>
      </c>
      <c r="P4" s="119"/>
    </row>
    <row r="5" spans="1:16" ht="29.25" thickBot="1" x14ac:dyDescent="0.3">
      <c r="A5" s="122"/>
      <c r="B5" s="123"/>
      <c r="C5" s="124" t="s">
        <v>146</v>
      </c>
      <c r="D5" s="125">
        <v>0</v>
      </c>
      <c r="E5" s="126">
        <v>44896</v>
      </c>
      <c r="F5" s="127"/>
      <c r="G5" s="128"/>
      <c r="H5" s="129"/>
      <c r="I5" s="130"/>
      <c r="J5" s="122"/>
      <c r="K5" s="123"/>
      <c r="L5" s="124" t="s">
        <v>146</v>
      </c>
      <c r="M5" s="125">
        <v>0</v>
      </c>
      <c r="N5" s="126">
        <v>44896</v>
      </c>
      <c r="O5" s="127"/>
      <c r="P5" s="128"/>
    </row>
    <row r="6" spans="1:16" x14ac:dyDescent="0.25">
      <c r="A6" s="110"/>
      <c r="B6" s="131"/>
      <c r="C6" s="132"/>
      <c r="D6" s="133"/>
      <c r="E6" s="133"/>
      <c r="F6" s="133"/>
      <c r="G6" s="134"/>
      <c r="H6" s="135"/>
      <c r="I6" s="136"/>
      <c r="J6" s="110"/>
      <c r="K6" s="131"/>
      <c r="L6" s="132"/>
      <c r="M6" s="133"/>
      <c r="N6" s="133"/>
      <c r="O6" s="133"/>
      <c r="P6" s="134"/>
    </row>
    <row r="7" spans="1:16" ht="33.75" x14ac:dyDescent="0.5">
      <c r="A7" s="110"/>
      <c r="B7" s="137" t="s">
        <v>147</v>
      </c>
      <c r="C7" s="138">
        <v>45660</v>
      </c>
      <c r="D7" s="137" t="s">
        <v>148</v>
      </c>
      <c r="E7" s="139">
        <v>0.84722222222222221</v>
      </c>
      <c r="F7" s="133"/>
      <c r="G7" s="134"/>
      <c r="H7" s="140"/>
      <c r="I7" s="133"/>
      <c r="J7" s="110"/>
      <c r="K7" s="137" t="s">
        <v>147</v>
      </c>
      <c r="L7" s="141"/>
      <c r="M7" s="137" t="s">
        <v>148</v>
      </c>
      <c r="N7" s="142"/>
      <c r="O7" s="133"/>
      <c r="P7" s="134"/>
    </row>
    <row r="8" spans="1:16" ht="15.75" thickBot="1" x14ac:dyDescent="0.3">
      <c r="A8" s="110"/>
      <c r="B8" s="131"/>
      <c r="C8" s="132"/>
      <c r="D8" s="133"/>
      <c r="E8" s="133"/>
      <c r="F8" s="133"/>
      <c r="G8" s="134"/>
      <c r="H8" s="140"/>
      <c r="I8" s="133"/>
      <c r="J8" s="110"/>
      <c r="K8" s="131"/>
      <c r="L8" s="132"/>
      <c r="M8" s="133"/>
      <c r="N8" s="133"/>
      <c r="O8" s="133"/>
      <c r="P8" s="134"/>
    </row>
    <row r="9" spans="1:16" ht="51.75" customHeight="1" thickBot="1" x14ac:dyDescent="0.3">
      <c r="A9" s="143" t="s">
        <v>149</v>
      </c>
      <c r="B9" s="144"/>
      <c r="C9" s="145" t="s">
        <v>115</v>
      </c>
      <c r="D9" s="146"/>
      <c r="E9" s="146"/>
      <c r="F9" s="147"/>
      <c r="G9" s="148"/>
      <c r="H9" s="149"/>
      <c r="I9" s="150"/>
      <c r="J9" s="143" t="s">
        <v>149</v>
      </c>
      <c r="K9" s="144"/>
      <c r="L9" s="145" t="str">
        <f>C9</f>
        <v>Productos La Sauceda</v>
      </c>
      <c r="M9" s="146"/>
      <c r="N9" s="146"/>
      <c r="O9" s="147"/>
      <c r="P9" s="151"/>
    </row>
    <row r="10" spans="1:16" ht="15.75" customHeight="1" x14ac:dyDescent="0.25">
      <c r="A10" s="110"/>
      <c r="B10" s="152"/>
      <c r="C10" s="152"/>
      <c r="D10" s="153"/>
      <c r="E10" s="153"/>
      <c r="F10" s="153"/>
      <c r="G10" s="148"/>
      <c r="H10" s="149"/>
      <c r="I10" s="133"/>
      <c r="J10" s="110"/>
      <c r="K10" s="152"/>
      <c r="L10" s="152"/>
      <c r="M10" s="153"/>
      <c r="N10" s="153"/>
      <c r="O10" s="153"/>
      <c r="P10" s="134"/>
    </row>
    <row r="11" spans="1:16" x14ac:dyDescent="0.25">
      <c r="A11" s="110"/>
      <c r="B11" s="131"/>
      <c r="C11" s="131"/>
      <c r="D11" s="131"/>
      <c r="E11" s="131"/>
      <c r="F11" s="131"/>
      <c r="G11" s="111"/>
      <c r="H11" s="154"/>
      <c r="I11" s="131"/>
      <c r="J11" s="110"/>
      <c r="K11" s="131"/>
      <c r="L11" s="131"/>
      <c r="M11" s="131"/>
      <c r="N11" s="131"/>
      <c r="O11" s="131"/>
      <c r="P11" s="111"/>
    </row>
    <row r="12" spans="1:16" ht="15.75" thickBot="1" x14ac:dyDescent="0.3">
      <c r="A12" s="110"/>
      <c r="B12" s="131"/>
      <c r="C12" s="131"/>
      <c r="D12" s="131"/>
      <c r="E12" s="131"/>
      <c r="F12" s="131"/>
      <c r="G12" s="111"/>
      <c r="H12" s="154"/>
      <c r="I12" s="131"/>
      <c r="J12" s="110"/>
      <c r="K12" s="131"/>
      <c r="L12" s="131"/>
      <c r="M12" s="131"/>
      <c r="N12" s="131"/>
      <c r="O12" s="131"/>
      <c r="P12" s="111"/>
    </row>
    <row r="13" spans="1:16" ht="44.25" customHeight="1" thickBot="1" x14ac:dyDescent="0.3">
      <c r="A13" s="110"/>
      <c r="B13" s="152" t="s">
        <v>150</v>
      </c>
      <c r="C13" s="145" t="s">
        <v>151</v>
      </c>
      <c r="D13" s="146"/>
      <c r="E13" s="146"/>
      <c r="F13" s="147"/>
      <c r="G13" s="155"/>
      <c r="H13" s="156"/>
      <c r="I13" s="131"/>
      <c r="J13" s="110"/>
      <c r="K13" s="152" t="s">
        <v>150</v>
      </c>
      <c r="L13" s="145" t="str">
        <f>C13</f>
        <v>GDL</v>
      </c>
      <c r="M13" s="146"/>
      <c r="N13" s="146"/>
      <c r="O13" s="147"/>
      <c r="P13" s="111"/>
    </row>
    <row r="14" spans="1:16" ht="15.75" customHeight="1" x14ac:dyDescent="0.25">
      <c r="A14" s="110"/>
      <c r="B14" s="152"/>
      <c r="C14" s="152"/>
      <c r="D14" s="153"/>
      <c r="E14" s="153"/>
      <c r="F14" s="153"/>
      <c r="G14" s="148"/>
      <c r="H14" s="149"/>
      <c r="I14" s="131"/>
      <c r="J14" s="110"/>
      <c r="K14" s="152"/>
      <c r="L14" s="152"/>
      <c r="M14" s="153"/>
      <c r="N14" s="153"/>
      <c r="O14" s="153"/>
      <c r="P14" s="111"/>
    </row>
    <row r="15" spans="1:16" ht="15.75" thickBot="1" x14ac:dyDescent="0.3">
      <c r="A15" s="110"/>
      <c r="B15" s="131"/>
      <c r="C15" s="131"/>
      <c r="D15" s="131"/>
      <c r="E15" s="131"/>
      <c r="F15" s="131"/>
      <c r="G15" s="111"/>
      <c r="H15" s="154"/>
      <c r="I15" s="131"/>
      <c r="J15" s="110"/>
      <c r="K15" s="131"/>
      <c r="L15" s="131"/>
      <c r="M15" s="131"/>
      <c r="N15" s="131"/>
      <c r="O15" s="131"/>
      <c r="P15" s="111"/>
    </row>
    <row r="16" spans="1:16" ht="34.5" customHeight="1" thickBot="1" x14ac:dyDescent="0.3">
      <c r="A16" s="157" t="s">
        <v>152</v>
      </c>
      <c r="B16" s="158"/>
      <c r="C16" s="159" t="s">
        <v>153</v>
      </c>
      <c r="D16" s="160"/>
      <c r="E16" s="160"/>
      <c r="F16" s="161"/>
      <c r="G16" s="162"/>
      <c r="H16" s="163"/>
      <c r="I16" s="131"/>
      <c r="J16" s="157" t="s">
        <v>152</v>
      </c>
      <c r="K16" s="158"/>
      <c r="L16" s="159" t="str">
        <f>C13</f>
        <v>GDL</v>
      </c>
      <c r="M16" s="160"/>
      <c r="N16" s="160"/>
      <c r="O16" s="161"/>
      <c r="P16" s="111"/>
    </row>
    <row r="17" spans="1:16" ht="34.5" thickBot="1" x14ac:dyDescent="0.3">
      <c r="A17" s="110"/>
      <c r="B17" s="152" t="s">
        <v>154</v>
      </c>
      <c r="C17" s="159" t="s">
        <v>155</v>
      </c>
      <c r="D17" s="160"/>
      <c r="E17" s="160"/>
      <c r="F17" s="161"/>
      <c r="G17" s="164"/>
      <c r="H17" s="165"/>
      <c r="I17" s="131"/>
      <c r="J17" s="110"/>
      <c r="K17" s="152" t="s">
        <v>154</v>
      </c>
      <c r="L17" s="159" t="str">
        <f>C17</f>
        <v>ABC</v>
      </c>
      <c r="M17" s="160"/>
      <c r="N17" s="160"/>
      <c r="O17" s="161"/>
      <c r="P17" s="111"/>
    </row>
    <row r="18" spans="1:16" ht="15.75" thickBot="1" x14ac:dyDescent="0.3">
      <c r="A18" s="110"/>
      <c r="B18" s="131"/>
      <c r="C18" s="131"/>
      <c r="D18" s="131"/>
      <c r="E18" s="131"/>
      <c r="F18" s="131"/>
      <c r="G18" s="111"/>
      <c r="H18" s="154"/>
      <c r="I18" s="131"/>
      <c r="J18" s="110"/>
      <c r="K18" s="131"/>
      <c r="L18" s="131"/>
      <c r="M18" s="131"/>
      <c r="N18" s="131"/>
      <c r="O18" s="131"/>
      <c r="P18" s="111"/>
    </row>
    <row r="19" spans="1:16" ht="34.5" customHeight="1" thickBot="1" x14ac:dyDescent="0.55000000000000004">
      <c r="A19" s="143" t="s">
        <v>156</v>
      </c>
      <c r="B19" s="144"/>
      <c r="C19" s="166" t="s">
        <v>157</v>
      </c>
      <c r="D19" s="167"/>
      <c r="E19" s="167"/>
      <c r="F19" s="168"/>
      <c r="G19" s="169"/>
      <c r="H19" s="170"/>
      <c r="I19" s="131"/>
      <c r="J19" s="143" t="s">
        <v>156</v>
      </c>
      <c r="K19" s="144"/>
      <c r="L19" s="166" t="str">
        <f>C19</f>
        <v>AG552</v>
      </c>
      <c r="M19" s="167"/>
      <c r="N19" s="167"/>
      <c r="O19" s="168"/>
      <c r="P19" s="111"/>
    </row>
    <row r="20" spans="1:16" ht="15.75" customHeight="1" thickBot="1" x14ac:dyDescent="0.3">
      <c r="A20" s="110"/>
      <c r="B20" s="152"/>
      <c r="C20" s="152"/>
      <c r="D20" s="131"/>
      <c r="E20" s="131"/>
      <c r="F20" s="131"/>
      <c r="G20" s="111"/>
      <c r="H20" s="154"/>
      <c r="I20" s="131"/>
      <c r="J20" s="110"/>
      <c r="K20" s="152"/>
      <c r="L20" s="152"/>
      <c r="M20" s="131"/>
      <c r="N20" s="131"/>
      <c r="O20" s="131"/>
      <c r="P20" s="111"/>
    </row>
    <row r="21" spans="1:16" ht="36.75" thickBot="1" x14ac:dyDescent="0.6">
      <c r="A21" s="110"/>
      <c r="B21" s="152" t="s">
        <v>158</v>
      </c>
      <c r="C21" s="171">
        <v>50000</v>
      </c>
      <c r="D21" s="172"/>
      <c r="E21" s="172"/>
      <c r="F21" s="173"/>
      <c r="G21" s="174"/>
      <c r="H21" s="175"/>
      <c r="I21" s="131"/>
      <c r="J21" s="110"/>
      <c r="K21" s="152" t="s">
        <v>158</v>
      </c>
      <c r="L21" s="171">
        <f>C21</f>
        <v>50000</v>
      </c>
      <c r="M21" s="172"/>
      <c r="N21" s="172"/>
      <c r="O21" s="173"/>
      <c r="P21" s="111"/>
    </row>
    <row r="22" spans="1:16" ht="18" customHeight="1" x14ac:dyDescent="0.25">
      <c r="A22" s="110"/>
      <c r="C22" s="152"/>
      <c r="D22" s="131"/>
      <c r="E22" s="131"/>
      <c r="F22" s="131"/>
      <c r="G22" s="111"/>
      <c r="H22" s="154"/>
      <c r="I22" s="131"/>
      <c r="J22" s="110"/>
      <c r="L22" s="152"/>
      <c r="M22" s="131"/>
      <c r="N22" s="131"/>
      <c r="O22" s="131"/>
      <c r="P22" s="111"/>
    </row>
    <row r="23" spans="1:16" ht="15.75" customHeight="1" x14ac:dyDescent="0.25">
      <c r="A23" s="110"/>
      <c r="B23" s="152"/>
      <c r="C23" s="152"/>
      <c r="D23" s="131"/>
      <c r="E23" s="131"/>
      <c r="F23" s="131"/>
      <c r="G23" s="111"/>
      <c r="H23" s="154"/>
      <c r="I23" s="131"/>
      <c r="J23" s="110"/>
      <c r="K23" s="152"/>
      <c r="L23" s="152"/>
      <c r="M23" s="131"/>
      <c r="N23" s="131"/>
      <c r="O23" s="131"/>
      <c r="P23" s="111"/>
    </row>
    <row r="24" spans="1:16" x14ac:dyDescent="0.25">
      <c r="A24" s="110"/>
      <c r="B24" s="131"/>
      <c r="C24" s="131"/>
      <c r="D24" s="131"/>
      <c r="E24" s="131"/>
      <c r="F24" s="131"/>
      <c r="G24" s="111"/>
      <c r="H24" s="154"/>
      <c r="I24" s="131"/>
      <c r="J24" s="110"/>
      <c r="K24" s="131"/>
      <c r="L24" s="131"/>
      <c r="M24" s="131"/>
      <c r="N24" s="131"/>
      <c r="O24" s="131"/>
      <c r="P24" s="111"/>
    </row>
    <row r="25" spans="1:16" ht="33.75" customHeight="1" x14ac:dyDescent="0.5">
      <c r="A25" s="176" t="s">
        <v>159</v>
      </c>
      <c r="B25" s="177"/>
      <c r="C25" s="177" t="s">
        <v>160</v>
      </c>
      <c r="D25" s="177"/>
      <c r="E25" s="177"/>
      <c r="F25" s="177"/>
      <c r="G25" s="178"/>
      <c r="H25" s="179"/>
      <c r="I25" s="180"/>
      <c r="J25" s="176" t="s">
        <v>159</v>
      </c>
      <c r="K25" s="177"/>
      <c r="L25" s="177" t="s">
        <v>160</v>
      </c>
      <c r="M25" s="177"/>
      <c r="N25" s="177"/>
      <c r="O25" s="177"/>
      <c r="P25" s="178"/>
    </row>
    <row r="26" spans="1:16" ht="33.75" customHeight="1" x14ac:dyDescent="0.5">
      <c r="A26" s="176" t="s">
        <v>161</v>
      </c>
      <c r="B26" s="177"/>
      <c r="C26" s="181">
        <v>5</v>
      </c>
      <c r="D26" s="181"/>
      <c r="E26" s="181"/>
      <c r="F26" s="181"/>
      <c r="G26" s="169"/>
      <c r="H26" s="170"/>
      <c r="I26" s="182"/>
      <c r="J26" s="176" t="s">
        <v>161</v>
      </c>
      <c r="K26" s="177"/>
      <c r="L26" s="181">
        <f t="shared" ref="L26:L37" si="0">C26</f>
        <v>5</v>
      </c>
      <c r="M26" s="181"/>
      <c r="N26" s="181"/>
      <c r="O26" s="181"/>
      <c r="P26" s="169"/>
    </row>
    <row r="27" spans="1:16" ht="33.75" customHeight="1" x14ac:dyDescent="0.5">
      <c r="A27" s="176" t="s">
        <v>162</v>
      </c>
      <c r="B27" s="177"/>
      <c r="C27" s="181">
        <v>20</v>
      </c>
      <c r="D27" s="181"/>
      <c r="E27" s="181"/>
      <c r="F27" s="181"/>
      <c r="G27" s="169"/>
      <c r="H27" s="170"/>
      <c r="I27" s="182"/>
      <c r="J27" s="176" t="s">
        <v>162</v>
      </c>
      <c r="K27" s="177"/>
      <c r="L27" s="181">
        <f t="shared" si="0"/>
        <v>20</v>
      </c>
      <c r="M27" s="181"/>
      <c r="N27" s="181"/>
      <c r="O27" s="181"/>
      <c r="P27" s="169"/>
    </row>
    <row r="28" spans="1:16" ht="33.75" customHeight="1" x14ac:dyDescent="0.5">
      <c r="A28" s="176" t="s">
        <v>163</v>
      </c>
      <c r="B28" s="177"/>
      <c r="C28" s="181">
        <v>25</v>
      </c>
      <c r="D28" s="181"/>
      <c r="E28" s="181"/>
      <c r="F28" s="181"/>
      <c r="G28" s="169"/>
      <c r="H28" s="170"/>
      <c r="I28" s="182"/>
      <c r="J28" s="176" t="s">
        <v>163</v>
      </c>
      <c r="K28" s="177"/>
      <c r="L28" s="181">
        <f t="shared" si="0"/>
        <v>25</v>
      </c>
      <c r="M28" s="181"/>
      <c r="N28" s="181"/>
      <c r="O28" s="181"/>
      <c r="P28" s="169"/>
    </row>
    <row r="29" spans="1:16" ht="33.75" customHeight="1" x14ac:dyDescent="0.5">
      <c r="A29" s="176" t="s">
        <v>164</v>
      </c>
      <c r="B29" s="177"/>
      <c r="C29" s="181">
        <v>0.99</v>
      </c>
      <c r="D29" s="181"/>
      <c r="E29" s="181"/>
      <c r="F29" s="181"/>
      <c r="G29" s="169"/>
      <c r="H29" s="170"/>
      <c r="I29" s="182"/>
      <c r="J29" s="176" t="s">
        <v>164</v>
      </c>
      <c r="K29" s="177"/>
      <c r="L29" s="181">
        <f t="shared" si="0"/>
        <v>0.99</v>
      </c>
      <c r="M29" s="181"/>
      <c r="N29" s="181"/>
      <c r="O29" s="181"/>
      <c r="P29" s="169"/>
    </row>
    <row r="30" spans="1:16" ht="33.75" customHeight="1" x14ac:dyDescent="0.5">
      <c r="A30" s="176" t="s">
        <v>165</v>
      </c>
      <c r="B30" s="177"/>
      <c r="C30" s="181">
        <v>0</v>
      </c>
      <c r="D30" s="181"/>
      <c r="E30" s="181"/>
      <c r="F30" s="181"/>
      <c r="G30" s="169"/>
      <c r="H30" s="170"/>
      <c r="I30" s="182"/>
      <c r="J30" s="176" t="s">
        <v>165</v>
      </c>
      <c r="K30" s="177"/>
      <c r="L30" s="181">
        <f t="shared" si="0"/>
        <v>0</v>
      </c>
      <c r="M30" s="181"/>
      <c r="N30" s="181"/>
      <c r="O30" s="181"/>
      <c r="P30" s="169"/>
    </row>
    <row r="31" spans="1:16" ht="33.75" customHeight="1" x14ac:dyDescent="0.5">
      <c r="A31" s="176" t="s">
        <v>166</v>
      </c>
      <c r="B31" s="177"/>
      <c r="C31" s="181">
        <v>27.3</v>
      </c>
      <c r="D31" s="181"/>
      <c r="E31" s="181"/>
      <c r="F31" s="181"/>
      <c r="G31" s="169"/>
      <c r="H31" s="170"/>
      <c r="I31" s="182"/>
      <c r="J31" s="176" t="s">
        <v>166</v>
      </c>
      <c r="K31" s="177"/>
      <c r="L31" s="181">
        <f t="shared" si="0"/>
        <v>27.3</v>
      </c>
      <c r="M31" s="181"/>
      <c r="N31" s="181"/>
      <c r="O31" s="181"/>
      <c r="P31" s="169"/>
    </row>
    <row r="32" spans="1:16" ht="33.75" customHeight="1" x14ac:dyDescent="0.5">
      <c r="A32" s="176" t="s">
        <v>167</v>
      </c>
      <c r="B32" s="177"/>
      <c r="C32" s="181">
        <v>2.2999999999999998</v>
      </c>
      <c r="D32" s="181"/>
      <c r="E32" s="181"/>
      <c r="F32" s="181"/>
      <c r="G32" s="169"/>
      <c r="H32" s="170"/>
      <c r="I32" s="182"/>
      <c r="J32" s="176" t="s">
        <v>167</v>
      </c>
      <c r="K32" s="177"/>
      <c r="L32" s="181">
        <f t="shared" si="0"/>
        <v>2.2999999999999998</v>
      </c>
      <c r="M32" s="181"/>
      <c r="N32" s="181"/>
      <c r="O32" s="181"/>
      <c r="P32" s="169"/>
    </row>
    <row r="33" spans="1:16" ht="33.75" customHeight="1" x14ac:dyDescent="0.5">
      <c r="A33" s="176" t="s">
        <v>168</v>
      </c>
      <c r="B33" s="177"/>
      <c r="C33" s="181">
        <v>3.8</v>
      </c>
      <c r="D33" s="181"/>
      <c r="E33" s="181"/>
      <c r="F33" s="181"/>
      <c r="G33" s="169"/>
      <c r="H33" s="170"/>
      <c r="I33" s="182"/>
      <c r="J33" s="176" t="s">
        <v>168</v>
      </c>
      <c r="K33" s="177"/>
      <c r="L33" s="181">
        <f>C33</f>
        <v>3.8</v>
      </c>
      <c r="M33" s="181"/>
      <c r="N33" s="181"/>
      <c r="O33" s="181"/>
      <c r="P33" s="169"/>
    </row>
    <row r="34" spans="1:16" ht="33.75" customHeight="1" x14ac:dyDescent="0.5">
      <c r="A34" s="176" t="s">
        <v>169</v>
      </c>
      <c r="B34" s="177"/>
      <c r="C34" s="181" t="s">
        <v>170</v>
      </c>
      <c r="D34" s="181"/>
      <c r="E34" s="181"/>
      <c r="F34" s="181"/>
      <c r="G34" s="169"/>
      <c r="H34" s="170"/>
      <c r="I34" s="182"/>
      <c r="J34" s="176" t="s">
        <v>169</v>
      </c>
      <c r="K34" s="177"/>
      <c r="L34" s="181" t="str">
        <f t="shared" si="0"/>
        <v>Negativo</v>
      </c>
      <c r="M34" s="181"/>
      <c r="N34" s="181"/>
      <c r="O34" s="181"/>
      <c r="P34" s="169"/>
    </row>
    <row r="35" spans="1:16" ht="33.75" customHeight="1" x14ac:dyDescent="0.5">
      <c r="A35" s="176" t="s">
        <v>171</v>
      </c>
      <c r="B35" s="177"/>
      <c r="C35" s="181" t="s">
        <v>170</v>
      </c>
      <c r="D35" s="181"/>
      <c r="E35" s="181"/>
      <c r="F35" s="181"/>
      <c r="G35" s="169"/>
      <c r="H35" s="170"/>
      <c r="I35" s="182"/>
      <c r="J35" s="176" t="s">
        <v>171</v>
      </c>
      <c r="K35" s="177"/>
      <c r="L35" s="181" t="str">
        <f t="shared" si="0"/>
        <v>Negativo</v>
      </c>
      <c r="M35" s="181"/>
      <c r="N35" s="181"/>
      <c r="O35" s="181"/>
      <c r="P35" s="169"/>
    </row>
    <row r="36" spans="1:16" ht="33.75" customHeight="1" x14ac:dyDescent="0.5">
      <c r="A36" s="176" t="s">
        <v>172</v>
      </c>
      <c r="B36" s="177"/>
      <c r="C36" s="181" t="s">
        <v>170</v>
      </c>
      <c r="D36" s="181"/>
      <c r="E36" s="181"/>
      <c r="F36" s="181"/>
      <c r="G36" s="169"/>
      <c r="H36" s="170"/>
      <c r="I36" s="182"/>
      <c r="J36" s="176" t="s">
        <v>172</v>
      </c>
      <c r="K36" s="177"/>
      <c r="L36" s="181" t="str">
        <f t="shared" si="0"/>
        <v>Negativo</v>
      </c>
      <c r="M36" s="181"/>
      <c r="N36" s="181"/>
      <c r="O36" s="181"/>
      <c r="P36" s="169"/>
    </row>
    <row r="37" spans="1:16" ht="33.75" customHeight="1" x14ac:dyDescent="0.5">
      <c r="A37" s="176" t="s">
        <v>134</v>
      </c>
      <c r="B37" s="177"/>
      <c r="C37" s="181">
        <v>0</v>
      </c>
      <c r="D37" s="181"/>
      <c r="E37" s="181"/>
      <c r="F37" s="181"/>
      <c r="G37" s="169"/>
      <c r="H37" s="170"/>
      <c r="I37" s="182"/>
      <c r="J37" s="176" t="s">
        <v>134</v>
      </c>
      <c r="K37" s="177"/>
      <c r="L37" s="181">
        <f t="shared" si="0"/>
        <v>0</v>
      </c>
      <c r="M37" s="181"/>
      <c r="N37" s="181"/>
      <c r="O37" s="181"/>
      <c r="P37" s="169"/>
    </row>
    <row r="38" spans="1:16" ht="33.75" customHeight="1" x14ac:dyDescent="0.5">
      <c r="A38" s="176" t="s">
        <v>135</v>
      </c>
      <c r="B38" s="177"/>
      <c r="C38" s="181" t="s">
        <v>170</v>
      </c>
      <c r="D38" s="181"/>
      <c r="E38" s="181"/>
      <c r="F38" s="181"/>
      <c r="G38" s="169"/>
      <c r="H38" s="170"/>
      <c r="I38" s="182"/>
      <c r="J38" s="176" t="s">
        <v>135</v>
      </c>
      <c r="K38" s="177"/>
      <c r="L38" s="181">
        <f>C39</f>
        <v>13.8</v>
      </c>
      <c r="M38" s="181"/>
      <c r="N38" s="181"/>
      <c r="O38" s="181"/>
      <c r="P38" s="169"/>
    </row>
    <row r="39" spans="1:16" ht="33.75" x14ac:dyDescent="0.5">
      <c r="A39" s="176" t="s">
        <v>136</v>
      </c>
      <c r="B39" s="177"/>
      <c r="C39" s="181">
        <v>13.8</v>
      </c>
      <c r="D39" s="181"/>
      <c r="E39" s="181"/>
      <c r="F39" s="181"/>
      <c r="G39" s="169"/>
      <c r="H39" s="170"/>
      <c r="I39" s="182"/>
      <c r="J39" s="176" t="s">
        <v>136</v>
      </c>
      <c r="K39" s="177"/>
      <c r="L39" s="181">
        <f t="shared" ref="L39:L45" si="1">C39</f>
        <v>13.8</v>
      </c>
      <c r="M39" s="181"/>
      <c r="N39" s="181"/>
      <c r="O39" s="181"/>
      <c r="P39" s="169"/>
    </row>
    <row r="40" spans="1:16" ht="33.75" customHeight="1" x14ac:dyDescent="0.5">
      <c r="A40" s="176" t="s">
        <v>137</v>
      </c>
      <c r="B40" s="177"/>
      <c r="C40" s="181">
        <v>0</v>
      </c>
      <c r="D40" s="181"/>
      <c r="E40" s="181"/>
      <c r="F40" s="181"/>
      <c r="G40" s="169"/>
      <c r="H40" s="170"/>
      <c r="I40" s="182"/>
      <c r="J40" s="176" t="s">
        <v>137</v>
      </c>
      <c r="K40" s="177"/>
      <c r="L40" s="181">
        <f t="shared" si="1"/>
        <v>0</v>
      </c>
      <c r="M40" s="181"/>
      <c r="N40" s="181"/>
      <c r="O40" s="181"/>
      <c r="P40" s="169"/>
    </row>
    <row r="41" spans="1:16" ht="33.75" customHeight="1" x14ac:dyDescent="0.5">
      <c r="A41" s="176" t="s">
        <v>173</v>
      </c>
      <c r="B41" s="177"/>
      <c r="C41" s="181" t="s">
        <v>170</v>
      </c>
      <c r="D41" s="181"/>
      <c r="E41" s="181"/>
      <c r="F41" s="181"/>
      <c r="G41" s="169"/>
      <c r="H41" s="170"/>
      <c r="I41" s="182"/>
      <c r="J41" s="176" t="s">
        <v>173</v>
      </c>
      <c r="K41" s="177"/>
      <c r="L41" s="181" t="str">
        <f t="shared" si="1"/>
        <v>Negativo</v>
      </c>
      <c r="M41" s="181"/>
      <c r="N41" s="181"/>
      <c r="O41" s="181"/>
      <c r="P41" s="169"/>
    </row>
    <row r="42" spans="1:16" ht="34.5" customHeight="1" x14ac:dyDescent="0.5">
      <c r="A42" s="176" t="s">
        <v>139</v>
      </c>
      <c r="B42" s="177"/>
      <c r="C42" s="181" t="s">
        <v>1</v>
      </c>
      <c r="D42" s="181"/>
      <c r="E42" s="181"/>
      <c r="F42" s="181"/>
      <c r="G42" s="169"/>
      <c r="H42" s="170"/>
      <c r="I42" s="182"/>
      <c r="J42" s="176" t="s">
        <v>139</v>
      </c>
      <c r="K42" s="177"/>
      <c r="L42" s="181" t="str">
        <f t="shared" si="1"/>
        <v>Caracteristico</v>
      </c>
      <c r="M42" s="181"/>
      <c r="N42" s="181"/>
      <c r="O42" s="181"/>
      <c r="P42" s="169"/>
    </row>
    <row r="43" spans="1:16" ht="34.5" customHeight="1" x14ac:dyDescent="0.5">
      <c r="A43" s="176" t="s">
        <v>69</v>
      </c>
      <c r="B43" s="177"/>
      <c r="C43" s="181" t="s">
        <v>1</v>
      </c>
      <c r="D43" s="181"/>
      <c r="E43" s="181"/>
      <c r="F43" s="181"/>
      <c r="G43" s="169"/>
      <c r="H43" s="170"/>
      <c r="I43" s="182"/>
      <c r="J43" s="176" t="s">
        <v>69</v>
      </c>
      <c r="K43" s="177"/>
      <c r="L43" s="181" t="str">
        <f t="shared" si="1"/>
        <v>Caracteristico</v>
      </c>
      <c r="M43" s="181"/>
      <c r="N43" s="181"/>
      <c r="O43" s="181"/>
      <c r="P43" s="169"/>
    </row>
    <row r="44" spans="1:16" ht="34.5" customHeight="1" x14ac:dyDescent="0.5">
      <c r="A44" s="176" t="s">
        <v>70</v>
      </c>
      <c r="B44" s="177"/>
      <c r="C44" s="181" t="s">
        <v>1</v>
      </c>
      <c r="D44" s="181"/>
      <c r="E44" s="181"/>
      <c r="F44" s="181"/>
      <c r="G44" s="169"/>
      <c r="H44" s="170"/>
      <c r="I44" s="182"/>
      <c r="J44" s="176" t="s">
        <v>70</v>
      </c>
      <c r="K44" s="177"/>
      <c r="L44" s="181" t="str">
        <f t="shared" si="1"/>
        <v>Caracteristico</v>
      </c>
      <c r="M44" s="181"/>
      <c r="N44" s="181"/>
      <c r="O44" s="181"/>
      <c r="P44" s="169"/>
    </row>
    <row r="45" spans="1:16" ht="34.5" customHeight="1" x14ac:dyDescent="0.5">
      <c r="A45" s="176" t="s">
        <v>174</v>
      </c>
      <c r="B45" s="177"/>
      <c r="C45" s="181" t="s">
        <v>175</v>
      </c>
      <c r="D45" s="181"/>
      <c r="E45" s="181"/>
      <c r="F45" s="181"/>
      <c r="G45" s="169"/>
      <c r="H45" s="170"/>
      <c r="I45" s="182"/>
      <c r="J45" s="176" t="s">
        <v>174</v>
      </c>
      <c r="K45" s="177"/>
      <c r="L45" s="181" t="str">
        <f t="shared" si="1"/>
        <v>N/A</v>
      </c>
      <c r="M45" s="181"/>
      <c r="N45" s="181"/>
      <c r="O45" s="181"/>
      <c r="P45" s="169"/>
    </row>
    <row r="46" spans="1:16" x14ac:dyDescent="0.25">
      <c r="A46" s="110"/>
      <c r="B46" s="131"/>
      <c r="C46" s="131"/>
      <c r="D46" s="131"/>
      <c r="E46" s="131"/>
      <c r="F46" s="131"/>
      <c r="G46" s="111"/>
      <c r="H46" s="154"/>
      <c r="I46" s="131"/>
      <c r="J46" s="110"/>
      <c r="K46" s="131"/>
      <c r="L46" s="131"/>
      <c r="M46" s="131"/>
      <c r="N46" s="131"/>
      <c r="O46" s="131"/>
      <c r="P46" s="111"/>
    </row>
    <row r="47" spans="1:16" ht="34.5" customHeight="1" x14ac:dyDescent="0.25">
      <c r="A47" s="110"/>
      <c r="B47" s="183" t="s">
        <v>176</v>
      </c>
      <c r="C47" s="131"/>
      <c r="D47" s="131"/>
      <c r="E47" s="152" t="s">
        <v>177</v>
      </c>
      <c r="F47" s="184" t="s">
        <v>178</v>
      </c>
      <c r="G47" s="155"/>
      <c r="H47" s="156"/>
      <c r="I47" s="152"/>
      <c r="J47" s="110"/>
      <c r="K47" s="183" t="s">
        <v>176</v>
      </c>
      <c r="L47" s="131"/>
      <c r="M47" s="131"/>
      <c r="N47" s="152" t="s">
        <v>177</v>
      </c>
      <c r="O47" s="184" t="str">
        <f>F47</f>
        <v>AG401</v>
      </c>
      <c r="P47" s="155"/>
    </row>
    <row r="48" spans="1:16" x14ac:dyDescent="0.25">
      <c r="A48" s="185" t="s">
        <v>179</v>
      </c>
      <c r="B48" s="186"/>
      <c r="C48" s="186"/>
      <c r="D48" s="186"/>
      <c r="E48" s="131"/>
      <c r="F48" s="187" t="s">
        <v>180</v>
      </c>
      <c r="G48" s="174"/>
      <c r="H48" s="175"/>
      <c r="I48" s="131"/>
      <c r="J48" s="188" t="str">
        <f>A48</f>
        <v>OK</v>
      </c>
      <c r="K48" s="189"/>
      <c r="L48" s="189"/>
      <c r="M48" s="189"/>
      <c r="N48" s="131"/>
      <c r="O48" s="187" t="str">
        <f>F48</f>
        <v>AG402</v>
      </c>
      <c r="P48" s="111"/>
    </row>
    <row r="49" spans="1:16" x14ac:dyDescent="0.25">
      <c r="A49" s="185"/>
      <c r="B49" s="186"/>
      <c r="C49" s="186"/>
      <c r="D49" s="186"/>
      <c r="E49" s="131"/>
      <c r="F49" s="190"/>
      <c r="G49" s="174"/>
      <c r="H49" s="175"/>
      <c r="I49" s="131"/>
      <c r="J49" s="188"/>
      <c r="K49" s="189"/>
      <c r="L49" s="189"/>
      <c r="M49" s="189"/>
      <c r="N49" s="131"/>
      <c r="O49" s="190"/>
      <c r="P49" s="111"/>
    </row>
    <row r="50" spans="1:16" x14ac:dyDescent="0.25">
      <c r="A50" s="191" t="s">
        <v>181</v>
      </c>
      <c r="B50" s="192"/>
      <c r="C50" s="192"/>
      <c r="D50" s="193"/>
      <c r="E50" s="131"/>
      <c r="F50" s="187"/>
      <c r="G50" s="174"/>
      <c r="H50" s="175"/>
      <c r="I50" s="131"/>
      <c r="J50" s="194" t="str">
        <f>A50</f>
        <v>OKL</v>
      </c>
      <c r="K50" s="195"/>
      <c r="L50" s="195"/>
      <c r="M50" s="196"/>
      <c r="N50" s="131"/>
      <c r="O50" s="187">
        <f>F50</f>
        <v>0</v>
      </c>
      <c r="P50" s="111"/>
    </row>
    <row r="51" spans="1:16" x14ac:dyDescent="0.25">
      <c r="A51" s="197"/>
      <c r="B51" s="198"/>
      <c r="C51" s="198"/>
      <c r="D51" s="199"/>
      <c r="E51" s="131"/>
      <c r="F51" s="190"/>
      <c r="G51" s="111"/>
      <c r="H51" s="154"/>
      <c r="I51" s="131"/>
      <c r="J51" s="200"/>
      <c r="K51" s="201"/>
      <c r="L51" s="201"/>
      <c r="M51" s="202"/>
      <c r="N51" s="131"/>
      <c r="O51" s="190"/>
      <c r="P51" s="111"/>
    </row>
    <row r="52" spans="1:16" x14ac:dyDescent="0.25">
      <c r="A52" s="191" t="s">
        <v>182</v>
      </c>
      <c r="B52" s="192"/>
      <c r="C52" s="192"/>
      <c r="D52" s="193"/>
      <c r="E52" s="131"/>
      <c r="F52" s="131"/>
      <c r="G52" s="111"/>
      <c r="H52" s="154"/>
      <c r="I52" s="131"/>
      <c r="J52" s="194" t="str">
        <f>A52</f>
        <v>OL</v>
      </c>
      <c r="K52" s="195"/>
      <c r="L52" s="195"/>
      <c r="M52" s="196"/>
      <c r="N52" s="131"/>
      <c r="O52" s="131"/>
      <c r="P52" s="111"/>
    </row>
    <row r="53" spans="1:16" x14ac:dyDescent="0.25">
      <c r="A53" s="197"/>
      <c r="B53" s="198"/>
      <c r="C53" s="198"/>
      <c r="D53" s="199"/>
      <c r="E53" s="131"/>
      <c r="F53" s="131"/>
      <c r="G53" s="111"/>
      <c r="H53" s="154"/>
      <c r="I53" s="131"/>
      <c r="J53" s="200"/>
      <c r="K53" s="201"/>
      <c r="L53" s="201"/>
      <c r="M53" s="202"/>
      <c r="N53" s="131"/>
      <c r="O53" s="131"/>
      <c r="P53" s="111"/>
    </row>
    <row r="54" spans="1:16" x14ac:dyDescent="0.25">
      <c r="A54" s="110"/>
      <c r="B54" s="131"/>
      <c r="C54" s="131"/>
      <c r="D54" s="131"/>
      <c r="E54" s="131"/>
      <c r="F54" s="131"/>
      <c r="G54" s="111"/>
      <c r="H54" s="154"/>
      <c r="I54" s="131"/>
      <c r="J54" s="110"/>
      <c r="K54" s="131"/>
      <c r="L54" s="131"/>
      <c r="M54" s="131"/>
      <c r="N54" s="131"/>
      <c r="O54" s="131"/>
      <c r="P54" s="111"/>
    </row>
    <row r="55" spans="1:16" x14ac:dyDescent="0.25">
      <c r="A55" s="110"/>
      <c r="B55" s="131"/>
      <c r="C55" s="131"/>
      <c r="D55" s="131"/>
      <c r="E55" s="131"/>
      <c r="F55" s="131"/>
      <c r="G55" s="111"/>
      <c r="H55" s="154"/>
      <c r="I55" s="131"/>
      <c r="J55" s="110"/>
      <c r="K55" s="131"/>
      <c r="L55" s="131"/>
      <c r="M55" s="131"/>
      <c r="N55" s="131"/>
      <c r="O55" s="131"/>
      <c r="P55" s="111"/>
    </row>
    <row r="56" spans="1:16" ht="34.5" customHeight="1" x14ac:dyDescent="0.5">
      <c r="A56" s="143" t="s">
        <v>51</v>
      </c>
      <c r="B56" s="144"/>
      <c r="C56" s="203" t="s">
        <v>183</v>
      </c>
      <c r="D56" s="203"/>
      <c r="E56" s="180" t="s">
        <v>184</v>
      </c>
      <c r="F56" s="204"/>
      <c r="G56" s="178"/>
      <c r="H56" s="179"/>
      <c r="I56" s="180"/>
      <c r="J56" s="143" t="s">
        <v>51</v>
      </c>
      <c r="K56" s="144"/>
      <c r="L56" s="203" t="str">
        <f>C56</f>
        <v>Alfonso.</v>
      </c>
      <c r="M56" s="203"/>
      <c r="N56" s="180" t="s">
        <v>184</v>
      </c>
      <c r="O56" s="204"/>
      <c r="P56" s="178"/>
    </row>
    <row r="57" spans="1:16" ht="93" customHeight="1" thickBot="1" x14ac:dyDescent="0.75">
      <c r="A57" s="122"/>
      <c r="B57" s="205"/>
      <c r="C57" s="205"/>
      <c r="D57" s="205"/>
      <c r="E57" s="205"/>
      <c r="F57" s="206" t="s">
        <v>185</v>
      </c>
      <c r="G57" s="207"/>
      <c r="H57" s="208"/>
      <c r="I57" s="209"/>
      <c r="J57" s="122"/>
      <c r="K57" s="205"/>
      <c r="L57" s="205"/>
      <c r="M57" s="205"/>
      <c r="N57" s="205"/>
      <c r="O57" s="206" t="s">
        <v>186</v>
      </c>
      <c r="P57" s="207"/>
    </row>
    <row r="58" spans="1:16" ht="15.75" thickBot="1" x14ac:dyDescent="0.3">
      <c r="A58" s="210"/>
      <c r="B58" s="210"/>
      <c r="C58" s="210"/>
      <c r="D58" s="210"/>
      <c r="E58" s="210"/>
      <c r="F58" s="210"/>
      <c r="G58" s="210"/>
      <c r="H58" s="210"/>
      <c r="I58" s="210"/>
    </row>
    <row r="59" spans="1:16" ht="15.75" thickBot="1" x14ac:dyDescent="0.3">
      <c r="A59" s="211"/>
      <c r="B59" s="211"/>
      <c r="C59" s="211"/>
      <c r="D59" s="211"/>
      <c r="E59" s="211"/>
      <c r="F59" s="211"/>
      <c r="G59" s="211"/>
      <c r="H59" s="211"/>
      <c r="I59" s="211"/>
    </row>
    <row r="60" spans="1:16" ht="15.75" thickBot="1" x14ac:dyDescent="0.3">
      <c r="A60" s="211"/>
      <c r="B60" s="211"/>
      <c r="C60" s="211"/>
      <c r="D60" s="211"/>
      <c r="E60" s="211"/>
      <c r="F60" s="211"/>
      <c r="G60" s="211"/>
      <c r="H60" s="211"/>
      <c r="I60" s="211"/>
    </row>
    <row r="61" spans="1:16" ht="15.75" thickBot="1" x14ac:dyDescent="0.3">
      <c r="A61" s="211"/>
      <c r="B61" s="211"/>
      <c r="C61" s="211"/>
      <c r="D61" s="211"/>
      <c r="E61" s="211"/>
      <c r="F61" s="211"/>
      <c r="G61" s="211"/>
      <c r="H61" s="211"/>
      <c r="I61" s="211"/>
    </row>
    <row r="62" spans="1:16" ht="15.75" thickBot="1" x14ac:dyDescent="0.3">
      <c r="A62" s="211"/>
      <c r="B62" s="211"/>
      <c r="C62" s="211"/>
      <c r="D62" s="211"/>
      <c r="E62" s="211"/>
      <c r="F62" s="211"/>
      <c r="G62" s="211"/>
      <c r="H62" s="211"/>
      <c r="I62" s="211"/>
    </row>
    <row r="63" spans="1:16" ht="15.75" thickBot="1" x14ac:dyDescent="0.3">
      <c r="A63" s="211"/>
      <c r="B63" s="211"/>
      <c r="C63" s="211"/>
      <c r="D63" s="211"/>
      <c r="E63" s="211"/>
      <c r="F63" s="211"/>
      <c r="G63" s="211"/>
      <c r="H63" s="211"/>
      <c r="I63" s="211"/>
    </row>
    <row r="64" spans="1:16" ht="15.75" thickBot="1" x14ac:dyDescent="0.3">
      <c r="A64" s="211"/>
      <c r="B64" s="211"/>
      <c r="C64" s="211"/>
      <c r="D64" s="211"/>
      <c r="E64" s="211"/>
      <c r="F64" s="211"/>
      <c r="G64" s="211"/>
      <c r="H64" s="211"/>
      <c r="I64" s="211"/>
    </row>
    <row r="65" spans="1:9" ht="15.75" thickBot="1" x14ac:dyDescent="0.3">
      <c r="A65" s="211"/>
      <c r="B65" s="211"/>
      <c r="C65" s="211"/>
      <c r="D65" s="211"/>
      <c r="E65" s="211"/>
      <c r="F65" s="211"/>
      <c r="G65" s="211"/>
      <c r="H65" s="211"/>
      <c r="I65" s="211"/>
    </row>
    <row r="66" spans="1:9" ht="15.75" thickBot="1" x14ac:dyDescent="0.3">
      <c r="A66" s="211"/>
      <c r="B66" s="211"/>
      <c r="C66" s="211"/>
      <c r="D66" s="211"/>
      <c r="E66" s="211"/>
      <c r="F66" s="211"/>
      <c r="G66" s="211"/>
      <c r="H66" s="211"/>
      <c r="I66" s="211"/>
    </row>
    <row r="67" spans="1:9" ht="15.75" thickBot="1" x14ac:dyDescent="0.3">
      <c r="A67" s="211"/>
      <c r="B67" s="211"/>
      <c r="C67" s="211"/>
      <c r="D67" s="211"/>
      <c r="E67" s="211"/>
      <c r="F67" s="211"/>
      <c r="G67" s="211"/>
      <c r="H67" s="211"/>
      <c r="I67" s="211"/>
    </row>
    <row r="68" spans="1:9" ht="15.75" thickBot="1" x14ac:dyDescent="0.3">
      <c r="A68" s="211"/>
      <c r="B68" s="211"/>
      <c r="C68" s="211"/>
      <c r="D68" s="211"/>
      <c r="E68" s="211"/>
      <c r="F68" s="211"/>
      <c r="G68" s="211"/>
      <c r="H68" s="211"/>
      <c r="I68" s="211"/>
    </row>
    <row r="69" spans="1:9" ht="15.75" thickBot="1" x14ac:dyDescent="0.3">
      <c r="A69" s="211"/>
      <c r="B69" s="211"/>
      <c r="C69" s="211"/>
      <c r="D69" s="211"/>
      <c r="E69" s="211"/>
      <c r="F69" s="211"/>
      <c r="G69" s="211"/>
      <c r="H69" s="211"/>
      <c r="I69" s="211"/>
    </row>
    <row r="70" spans="1:9" ht="15.75" thickBot="1" x14ac:dyDescent="0.3">
      <c r="A70" s="211"/>
      <c r="B70" s="211"/>
      <c r="C70" s="211"/>
      <c r="D70" s="211"/>
      <c r="E70" s="211"/>
      <c r="F70" s="211"/>
      <c r="G70" s="211"/>
      <c r="H70" s="211"/>
      <c r="I70" s="211"/>
    </row>
    <row r="71" spans="1:9" ht="15.75" thickBot="1" x14ac:dyDescent="0.3">
      <c r="A71" s="211"/>
      <c r="B71" s="211"/>
      <c r="C71" s="211"/>
      <c r="D71" s="211"/>
      <c r="E71" s="211"/>
      <c r="F71" s="211"/>
      <c r="G71" s="211"/>
      <c r="H71" s="211"/>
      <c r="I71" s="211"/>
    </row>
    <row r="72" spans="1:9" ht="15.75" thickBot="1" x14ac:dyDescent="0.3">
      <c r="A72" s="211"/>
      <c r="B72" s="211"/>
      <c r="C72" s="211"/>
      <c r="D72" s="211"/>
      <c r="E72" s="211"/>
      <c r="F72" s="211"/>
      <c r="G72" s="211"/>
      <c r="H72" s="211"/>
      <c r="I72" s="211"/>
    </row>
    <row r="73" spans="1:9" ht="15.75" thickBot="1" x14ac:dyDescent="0.3">
      <c r="A73" s="211"/>
      <c r="B73" s="211"/>
      <c r="C73" s="211"/>
      <c r="D73" s="211"/>
      <c r="E73" s="211"/>
      <c r="F73" s="211"/>
      <c r="G73" s="211"/>
      <c r="H73" s="211"/>
      <c r="I73" s="211"/>
    </row>
    <row r="74" spans="1:9" ht="15.75" thickBot="1" x14ac:dyDescent="0.3">
      <c r="A74" s="211"/>
      <c r="B74" s="211"/>
      <c r="C74" s="211"/>
      <c r="D74" s="211"/>
      <c r="E74" s="211"/>
      <c r="F74" s="211"/>
      <c r="G74" s="211"/>
      <c r="H74" s="211"/>
      <c r="I74" s="211"/>
    </row>
    <row r="75" spans="1:9" ht="15.75" thickBot="1" x14ac:dyDescent="0.3">
      <c r="A75" s="211"/>
      <c r="B75" s="211"/>
      <c r="C75" s="211"/>
      <c r="D75" s="211"/>
      <c r="E75" s="211"/>
      <c r="F75" s="211"/>
      <c r="G75" s="211"/>
      <c r="H75" s="211"/>
      <c r="I75" s="211"/>
    </row>
    <row r="76" spans="1:9" ht="15.75" thickBot="1" x14ac:dyDescent="0.3">
      <c r="A76" s="211"/>
      <c r="B76" s="211"/>
      <c r="C76" s="211"/>
      <c r="D76" s="211"/>
      <c r="E76" s="211"/>
      <c r="F76" s="211"/>
      <c r="G76" s="211"/>
      <c r="H76" s="211"/>
      <c r="I76" s="211"/>
    </row>
    <row r="77" spans="1:9" ht="15.75" thickBot="1" x14ac:dyDescent="0.3">
      <c r="A77" s="211"/>
      <c r="B77" s="211"/>
      <c r="C77" s="211"/>
      <c r="D77" s="211"/>
      <c r="E77" s="211"/>
      <c r="F77" s="211"/>
      <c r="G77" s="211"/>
      <c r="H77" s="211"/>
      <c r="I77" s="211"/>
    </row>
    <row r="78" spans="1:9" ht="15.75" thickBot="1" x14ac:dyDescent="0.3">
      <c r="A78" s="211"/>
      <c r="B78" s="211"/>
      <c r="C78" s="211"/>
      <c r="D78" s="211"/>
      <c r="E78" s="211"/>
      <c r="F78" s="211"/>
      <c r="G78" s="211"/>
      <c r="H78" s="211"/>
      <c r="I78" s="211"/>
    </row>
    <row r="79" spans="1:9" ht="15.75" thickBot="1" x14ac:dyDescent="0.3">
      <c r="A79" s="211"/>
      <c r="B79" s="211"/>
      <c r="C79" s="211"/>
      <c r="D79" s="211"/>
      <c r="E79" s="211"/>
      <c r="F79" s="211"/>
      <c r="G79" s="211"/>
      <c r="H79" s="211"/>
      <c r="I79" s="211"/>
    </row>
    <row r="80" spans="1:9" ht="15.75" thickBot="1" x14ac:dyDescent="0.3">
      <c r="A80" s="211"/>
      <c r="B80" s="211"/>
      <c r="C80" s="211"/>
      <c r="D80" s="211"/>
      <c r="E80" s="211"/>
      <c r="F80" s="211"/>
      <c r="G80" s="211"/>
      <c r="H80" s="211"/>
      <c r="I80" s="211"/>
    </row>
    <row r="81" spans="1:9" ht="15.75" thickBot="1" x14ac:dyDescent="0.3">
      <c r="A81" s="211"/>
      <c r="B81" s="211"/>
      <c r="C81" s="211"/>
      <c r="D81" s="211"/>
      <c r="E81" s="211"/>
      <c r="F81" s="211"/>
      <c r="G81" s="211"/>
      <c r="H81" s="211"/>
      <c r="I81" s="211"/>
    </row>
    <row r="82" spans="1:9" ht="15.75" thickBot="1" x14ac:dyDescent="0.3">
      <c r="A82" s="211"/>
      <c r="B82" s="211"/>
      <c r="C82" s="211"/>
      <c r="D82" s="211"/>
      <c r="E82" s="211"/>
      <c r="F82" s="211"/>
      <c r="G82" s="211"/>
      <c r="H82" s="211"/>
      <c r="I82" s="211"/>
    </row>
    <row r="83" spans="1:9" ht="15.75" thickBot="1" x14ac:dyDescent="0.3">
      <c r="A83" s="211"/>
      <c r="B83" s="211"/>
      <c r="C83" s="211"/>
      <c r="D83" s="211"/>
      <c r="E83" s="211"/>
      <c r="F83" s="211"/>
      <c r="G83" s="211"/>
      <c r="H83" s="211"/>
      <c r="I83" s="211"/>
    </row>
    <row r="84" spans="1:9" ht="15.75" thickBot="1" x14ac:dyDescent="0.3">
      <c r="A84" s="211"/>
      <c r="B84" s="211"/>
      <c r="C84" s="211"/>
      <c r="D84" s="211"/>
      <c r="E84" s="211"/>
      <c r="F84" s="211"/>
      <c r="G84" s="211"/>
      <c r="H84" s="211"/>
      <c r="I84" s="211"/>
    </row>
    <row r="85" spans="1:9" ht="15.75" thickBot="1" x14ac:dyDescent="0.3">
      <c r="A85" s="211"/>
      <c r="B85" s="211"/>
      <c r="C85" s="211"/>
      <c r="D85" s="211"/>
      <c r="E85" s="211"/>
      <c r="F85" s="211"/>
      <c r="G85" s="211"/>
      <c r="H85" s="211"/>
      <c r="I85" s="211"/>
    </row>
    <row r="86" spans="1:9" ht="15.75" thickBot="1" x14ac:dyDescent="0.3">
      <c r="A86" s="211"/>
      <c r="B86" s="211"/>
      <c r="C86" s="211"/>
      <c r="D86" s="211"/>
      <c r="E86" s="211"/>
      <c r="F86" s="211"/>
      <c r="G86" s="211"/>
      <c r="H86" s="211"/>
      <c r="I86" s="211"/>
    </row>
    <row r="87" spans="1:9" ht="15.75" thickBot="1" x14ac:dyDescent="0.3">
      <c r="A87" s="211"/>
      <c r="B87" s="211"/>
      <c r="C87" s="211"/>
      <c r="D87" s="211"/>
      <c r="E87" s="211"/>
      <c r="F87" s="211"/>
      <c r="G87" s="211"/>
      <c r="H87" s="211"/>
      <c r="I87" s="211"/>
    </row>
    <row r="88" spans="1:9" ht="15.75" thickBot="1" x14ac:dyDescent="0.3">
      <c r="A88" s="211"/>
      <c r="B88" s="211"/>
      <c r="C88" s="211"/>
      <c r="D88" s="211"/>
      <c r="E88" s="211"/>
      <c r="F88" s="211"/>
      <c r="G88" s="211"/>
      <c r="H88" s="211"/>
      <c r="I88" s="211"/>
    </row>
    <row r="89" spans="1:9" ht="15.75" thickBot="1" x14ac:dyDescent="0.3">
      <c r="A89" s="211"/>
      <c r="B89" s="211"/>
      <c r="C89" s="211"/>
      <c r="D89" s="211"/>
      <c r="E89" s="211"/>
      <c r="F89" s="211"/>
      <c r="G89" s="211"/>
      <c r="H89" s="211"/>
      <c r="I89" s="211"/>
    </row>
    <row r="90" spans="1:9" ht="15.75" thickBot="1" x14ac:dyDescent="0.3">
      <c r="A90" s="211"/>
      <c r="B90" s="211"/>
      <c r="C90" s="211"/>
      <c r="D90" s="211"/>
      <c r="E90" s="211"/>
      <c r="F90" s="211"/>
      <c r="G90" s="211"/>
      <c r="H90" s="211"/>
      <c r="I90" s="211"/>
    </row>
    <row r="91" spans="1:9" ht="15.75" thickBot="1" x14ac:dyDescent="0.3">
      <c r="A91" s="211"/>
      <c r="B91" s="211"/>
      <c r="C91" s="211"/>
      <c r="D91" s="211"/>
      <c r="E91" s="211"/>
      <c r="F91" s="211"/>
      <c r="G91" s="211"/>
      <c r="H91" s="211"/>
      <c r="I91" s="211"/>
    </row>
    <row r="92" spans="1:9" ht="15.75" thickBot="1" x14ac:dyDescent="0.3">
      <c r="A92" s="211"/>
      <c r="B92" s="211"/>
      <c r="C92" s="211"/>
      <c r="D92" s="211"/>
      <c r="E92" s="211"/>
      <c r="F92" s="211"/>
      <c r="G92" s="211"/>
      <c r="H92" s="211"/>
      <c r="I92" s="211"/>
    </row>
    <row r="93" spans="1:9" ht="15.75" thickBot="1" x14ac:dyDescent="0.3">
      <c r="A93" s="211"/>
      <c r="B93" s="211"/>
      <c r="C93" s="211"/>
      <c r="D93" s="211"/>
      <c r="E93" s="211"/>
      <c r="F93" s="211"/>
      <c r="G93" s="211"/>
      <c r="H93" s="211"/>
      <c r="I93" s="211"/>
    </row>
    <row r="94" spans="1:9" ht="15.75" thickBot="1" x14ac:dyDescent="0.3">
      <c r="A94" s="211"/>
      <c r="B94" s="211"/>
      <c r="C94" s="211"/>
      <c r="D94" s="211"/>
      <c r="E94" s="211"/>
      <c r="F94" s="211"/>
      <c r="G94" s="211"/>
      <c r="H94" s="211"/>
      <c r="I94" s="211"/>
    </row>
    <row r="95" spans="1:9" ht="15.75" thickBot="1" x14ac:dyDescent="0.3">
      <c r="A95" s="211"/>
      <c r="B95" s="211"/>
      <c r="C95" s="211"/>
      <c r="D95" s="211"/>
      <c r="E95" s="211"/>
      <c r="F95" s="211"/>
      <c r="G95" s="211"/>
      <c r="H95" s="211"/>
      <c r="I95" s="211"/>
    </row>
    <row r="96" spans="1:9" ht="15.75" thickBot="1" x14ac:dyDescent="0.3">
      <c r="A96" s="211"/>
      <c r="B96" s="211"/>
      <c r="C96" s="211"/>
      <c r="D96" s="211"/>
      <c r="E96" s="211"/>
      <c r="F96" s="211"/>
      <c r="G96" s="211"/>
      <c r="H96" s="211"/>
      <c r="I96" s="211"/>
    </row>
    <row r="97" spans="1:9" ht="15.75" thickBot="1" x14ac:dyDescent="0.3">
      <c r="A97" s="211"/>
      <c r="B97" s="211"/>
      <c r="C97" s="211"/>
      <c r="D97" s="211"/>
      <c r="E97" s="211"/>
      <c r="F97" s="211"/>
      <c r="G97" s="211"/>
      <c r="H97" s="211"/>
      <c r="I97" s="211"/>
    </row>
    <row r="98" spans="1:9" ht="15.75" thickBot="1" x14ac:dyDescent="0.3">
      <c r="A98" s="211"/>
      <c r="B98" s="211"/>
      <c r="C98" s="211"/>
      <c r="D98" s="211"/>
      <c r="E98" s="211"/>
      <c r="F98" s="211"/>
      <c r="G98" s="211"/>
      <c r="H98" s="211"/>
      <c r="I98" s="211"/>
    </row>
    <row r="99" spans="1:9" ht="15.75" thickBot="1" x14ac:dyDescent="0.3">
      <c r="A99" s="211"/>
      <c r="B99" s="211"/>
      <c r="C99" s="211"/>
      <c r="D99" s="211"/>
      <c r="E99" s="211"/>
      <c r="F99" s="211"/>
      <c r="G99" s="211"/>
      <c r="H99" s="211"/>
      <c r="I99" s="211"/>
    </row>
    <row r="100" spans="1:9" ht="15.75" thickBot="1" x14ac:dyDescent="0.3">
      <c r="A100" s="211"/>
      <c r="B100" s="211"/>
      <c r="C100" s="211"/>
      <c r="D100" s="211"/>
      <c r="E100" s="211"/>
      <c r="F100" s="211"/>
      <c r="G100" s="211"/>
      <c r="H100" s="211"/>
      <c r="I100" s="211"/>
    </row>
    <row r="101" spans="1:9" ht="15.75" thickBot="1" x14ac:dyDescent="0.3">
      <c r="A101" s="211"/>
      <c r="B101" s="211"/>
      <c r="C101" s="211"/>
      <c r="D101" s="211"/>
      <c r="E101" s="211"/>
      <c r="F101" s="211"/>
      <c r="G101" s="211"/>
      <c r="H101" s="211"/>
      <c r="I101" s="211"/>
    </row>
    <row r="102" spans="1:9" ht="15.75" thickBot="1" x14ac:dyDescent="0.3">
      <c r="A102" s="211"/>
      <c r="B102" s="211"/>
      <c r="C102" s="211"/>
      <c r="D102" s="211"/>
      <c r="E102" s="211"/>
      <c r="F102" s="211"/>
      <c r="G102" s="211"/>
      <c r="H102" s="211"/>
      <c r="I102" s="211"/>
    </row>
    <row r="103" spans="1:9" ht="15.75" thickBot="1" x14ac:dyDescent="0.3">
      <c r="A103" s="211"/>
      <c r="B103" s="211"/>
      <c r="C103" s="211"/>
      <c r="D103" s="211"/>
      <c r="E103" s="211"/>
      <c r="F103" s="211"/>
      <c r="G103" s="211"/>
      <c r="H103" s="211"/>
      <c r="I103" s="211"/>
    </row>
    <row r="104" spans="1:9" ht="15.75" thickBot="1" x14ac:dyDescent="0.3">
      <c r="A104" s="211"/>
      <c r="B104" s="211"/>
      <c r="C104" s="211"/>
      <c r="D104" s="211"/>
      <c r="E104" s="211"/>
      <c r="F104" s="211"/>
      <c r="G104" s="211"/>
      <c r="H104" s="211"/>
      <c r="I104" s="211"/>
    </row>
    <row r="105" spans="1:9" ht="15.75" thickBot="1" x14ac:dyDescent="0.3">
      <c r="A105" s="211"/>
      <c r="B105" s="211"/>
      <c r="C105" s="211"/>
      <c r="D105" s="211"/>
      <c r="E105" s="211"/>
      <c r="F105" s="211"/>
      <c r="G105" s="211"/>
      <c r="H105" s="211"/>
      <c r="I105" s="211"/>
    </row>
    <row r="106" spans="1:9" ht="15.75" thickBot="1" x14ac:dyDescent="0.3">
      <c r="A106" s="211"/>
      <c r="B106" s="211"/>
      <c r="C106" s="211"/>
      <c r="D106" s="211"/>
      <c r="E106" s="211"/>
      <c r="F106" s="211"/>
      <c r="G106" s="211"/>
      <c r="H106" s="211"/>
      <c r="I106" s="211"/>
    </row>
    <row r="107" spans="1:9" ht="15.75" thickBot="1" x14ac:dyDescent="0.3">
      <c r="A107" s="211"/>
      <c r="B107" s="211"/>
      <c r="C107" s="211"/>
      <c r="D107" s="211"/>
      <c r="E107" s="211"/>
      <c r="F107" s="211"/>
      <c r="G107" s="211"/>
      <c r="H107" s="211"/>
      <c r="I107" s="211"/>
    </row>
    <row r="108" spans="1:9" ht="15.75" thickBot="1" x14ac:dyDescent="0.3">
      <c r="A108" s="211"/>
      <c r="B108" s="211"/>
      <c r="C108" s="211"/>
      <c r="D108" s="211"/>
      <c r="E108" s="211"/>
      <c r="F108" s="211"/>
      <c r="G108" s="211"/>
      <c r="H108" s="211"/>
      <c r="I108" s="211"/>
    </row>
    <row r="109" spans="1:9" ht="15.75" thickBot="1" x14ac:dyDescent="0.3">
      <c r="A109" s="211"/>
      <c r="B109" s="211"/>
      <c r="C109" s="211"/>
      <c r="D109" s="211"/>
      <c r="E109" s="211"/>
      <c r="F109" s="211"/>
      <c r="G109" s="211"/>
      <c r="H109" s="211"/>
      <c r="I109" s="211"/>
    </row>
    <row r="110" spans="1:9" ht="15.75" thickBot="1" x14ac:dyDescent="0.3">
      <c r="A110" s="211"/>
      <c r="B110" s="211"/>
      <c r="C110" s="211"/>
      <c r="D110" s="211"/>
      <c r="E110" s="211"/>
      <c r="F110" s="211"/>
      <c r="G110" s="211"/>
      <c r="H110" s="211"/>
      <c r="I110" s="211"/>
    </row>
    <row r="111" spans="1:9" ht="15.75" thickBot="1" x14ac:dyDescent="0.3">
      <c r="A111" s="211"/>
      <c r="B111" s="211"/>
      <c r="C111" s="211"/>
      <c r="D111" s="211"/>
      <c r="E111" s="211"/>
      <c r="F111" s="211"/>
      <c r="G111" s="211"/>
      <c r="H111" s="211"/>
      <c r="I111" s="211"/>
    </row>
    <row r="112" spans="1:9" ht="15.75" thickBot="1" x14ac:dyDescent="0.3">
      <c r="A112" s="211"/>
      <c r="B112" s="211"/>
      <c r="C112" s="211"/>
      <c r="D112" s="211"/>
      <c r="E112" s="211"/>
      <c r="F112" s="211"/>
      <c r="G112" s="211"/>
      <c r="H112" s="211"/>
      <c r="I112" s="211"/>
    </row>
    <row r="113" spans="1:9" ht="15.75" thickBot="1" x14ac:dyDescent="0.3">
      <c r="A113" s="211"/>
      <c r="B113" s="211"/>
      <c r="C113" s="211"/>
      <c r="D113" s="211"/>
      <c r="E113" s="211"/>
      <c r="F113" s="211"/>
      <c r="G113" s="211"/>
      <c r="H113" s="211"/>
      <c r="I113" s="211"/>
    </row>
    <row r="114" spans="1:9" ht="15.75" thickBot="1" x14ac:dyDescent="0.3">
      <c r="A114" s="211"/>
      <c r="B114" s="211"/>
      <c r="C114" s="211"/>
      <c r="D114" s="211"/>
      <c r="E114" s="211"/>
      <c r="F114" s="211"/>
      <c r="G114" s="211"/>
      <c r="H114" s="211"/>
      <c r="I114" s="211"/>
    </row>
    <row r="115" spans="1:9" ht="15.75" thickBot="1" x14ac:dyDescent="0.3">
      <c r="A115" s="211"/>
      <c r="B115" s="211"/>
      <c r="C115" s="211"/>
      <c r="D115" s="211"/>
      <c r="E115" s="211"/>
      <c r="F115" s="211"/>
      <c r="G115" s="211"/>
      <c r="H115" s="211"/>
      <c r="I115" s="211"/>
    </row>
    <row r="116" spans="1:9" ht="15.75" thickBot="1" x14ac:dyDescent="0.3">
      <c r="A116" s="211"/>
      <c r="B116" s="211"/>
      <c r="C116" s="211"/>
      <c r="D116" s="211"/>
      <c r="E116" s="211"/>
      <c r="F116" s="211"/>
      <c r="G116" s="211"/>
      <c r="H116" s="211"/>
      <c r="I116" s="211"/>
    </row>
    <row r="117" spans="1:9" ht="15.75" thickBot="1" x14ac:dyDescent="0.3">
      <c r="A117" s="211"/>
      <c r="B117" s="211"/>
      <c r="C117" s="211"/>
      <c r="D117" s="211"/>
      <c r="E117" s="211"/>
      <c r="F117" s="211"/>
      <c r="G117" s="211"/>
      <c r="H117" s="211"/>
      <c r="I117" s="211"/>
    </row>
    <row r="118" spans="1:9" ht="15.75" thickBot="1" x14ac:dyDescent="0.3">
      <c r="A118" s="211"/>
      <c r="B118" s="211"/>
      <c r="C118" s="211"/>
      <c r="D118" s="211"/>
      <c r="E118" s="211"/>
      <c r="F118" s="211"/>
      <c r="G118" s="211"/>
      <c r="H118" s="211"/>
      <c r="I118" s="211"/>
    </row>
    <row r="119" spans="1:9" ht="15.75" thickBot="1" x14ac:dyDescent="0.3">
      <c r="A119" s="211"/>
      <c r="B119" s="211"/>
      <c r="C119" s="211"/>
      <c r="D119" s="211"/>
      <c r="E119" s="211"/>
      <c r="F119" s="211"/>
      <c r="G119" s="211"/>
      <c r="H119" s="211"/>
      <c r="I119" s="211"/>
    </row>
    <row r="120" spans="1:9" ht="15.75" thickBot="1" x14ac:dyDescent="0.3">
      <c r="A120" s="211"/>
      <c r="B120" s="211"/>
      <c r="C120" s="211"/>
      <c r="D120" s="211"/>
      <c r="E120" s="211"/>
      <c r="F120" s="211"/>
      <c r="G120" s="211"/>
      <c r="H120" s="211"/>
      <c r="I120" s="211"/>
    </row>
    <row r="121" spans="1:9" ht="15.75" thickBot="1" x14ac:dyDescent="0.3">
      <c r="A121" s="211"/>
      <c r="B121" s="211"/>
      <c r="C121" s="211"/>
      <c r="D121" s="211"/>
      <c r="E121" s="211"/>
      <c r="F121" s="211"/>
      <c r="G121" s="211"/>
      <c r="H121" s="211"/>
      <c r="I121" s="211"/>
    </row>
    <row r="122" spans="1:9" ht="15.75" thickBot="1" x14ac:dyDescent="0.3">
      <c r="A122" s="211"/>
      <c r="B122" s="211"/>
      <c r="C122" s="211"/>
      <c r="D122" s="211"/>
      <c r="E122" s="211"/>
      <c r="F122" s="211"/>
      <c r="G122" s="211"/>
      <c r="H122" s="211"/>
      <c r="I122" s="211"/>
    </row>
    <row r="123" spans="1:9" ht="15.75" thickBot="1" x14ac:dyDescent="0.3">
      <c r="A123" s="211"/>
      <c r="B123" s="211"/>
      <c r="C123" s="211"/>
      <c r="D123" s="211"/>
      <c r="E123" s="211"/>
      <c r="F123" s="211"/>
      <c r="G123" s="211"/>
      <c r="H123" s="211"/>
      <c r="I123" s="211"/>
    </row>
    <row r="124" spans="1:9" ht="15.75" thickBot="1" x14ac:dyDescent="0.3">
      <c r="A124" s="211"/>
      <c r="B124" s="211"/>
      <c r="C124" s="211"/>
      <c r="D124" s="211"/>
      <c r="E124" s="211"/>
      <c r="F124" s="211"/>
      <c r="G124" s="211"/>
      <c r="H124" s="211"/>
      <c r="I124" s="211"/>
    </row>
    <row r="125" spans="1:9" ht="15.75" thickBot="1" x14ac:dyDescent="0.3">
      <c r="A125" s="211"/>
      <c r="B125" s="211"/>
      <c r="C125" s="211"/>
      <c r="D125" s="211"/>
      <c r="E125" s="211"/>
      <c r="F125" s="211"/>
      <c r="G125" s="211"/>
      <c r="H125" s="211"/>
      <c r="I125" s="211"/>
    </row>
    <row r="126" spans="1:9" ht="15.75" thickBot="1" x14ac:dyDescent="0.3">
      <c r="A126" s="211"/>
      <c r="B126" s="211"/>
      <c r="C126" s="211"/>
      <c r="D126" s="211"/>
      <c r="E126" s="211"/>
      <c r="F126" s="211"/>
      <c r="G126" s="211"/>
      <c r="H126" s="211"/>
      <c r="I126" s="211"/>
    </row>
    <row r="127" spans="1:9" ht="15.75" thickBot="1" x14ac:dyDescent="0.3">
      <c r="A127" s="211"/>
      <c r="B127" s="211"/>
      <c r="C127" s="211"/>
      <c r="D127" s="211"/>
      <c r="E127" s="211"/>
      <c r="F127" s="211"/>
      <c r="G127" s="211"/>
      <c r="H127" s="211"/>
      <c r="I127" s="211"/>
    </row>
    <row r="128" spans="1:9" ht="15.75" thickBot="1" x14ac:dyDescent="0.3">
      <c r="A128" s="211"/>
      <c r="B128" s="211"/>
      <c r="C128" s="211"/>
      <c r="D128" s="211"/>
      <c r="E128" s="211"/>
      <c r="F128" s="211"/>
      <c r="G128" s="211"/>
      <c r="H128" s="211"/>
      <c r="I128" s="211"/>
    </row>
    <row r="129" spans="1:9" ht="15.75" thickBot="1" x14ac:dyDescent="0.3">
      <c r="A129" s="211"/>
      <c r="B129" s="211"/>
      <c r="C129" s="211"/>
      <c r="D129" s="211"/>
      <c r="E129" s="211"/>
      <c r="F129" s="211"/>
      <c r="G129" s="211"/>
      <c r="H129" s="211"/>
      <c r="I129" s="211"/>
    </row>
    <row r="130" spans="1:9" ht="15.75" thickBot="1" x14ac:dyDescent="0.3">
      <c r="A130" s="211"/>
      <c r="B130" s="211"/>
      <c r="C130" s="211"/>
      <c r="D130" s="211"/>
      <c r="E130" s="211"/>
      <c r="F130" s="211"/>
      <c r="G130" s="211"/>
      <c r="H130" s="211"/>
      <c r="I130" s="211"/>
    </row>
    <row r="131" spans="1:9" ht="15.75" thickBot="1" x14ac:dyDescent="0.3">
      <c r="A131" s="211"/>
      <c r="B131" s="211"/>
      <c r="C131" s="211"/>
      <c r="D131" s="211"/>
      <c r="E131" s="211"/>
      <c r="F131" s="211"/>
      <c r="G131" s="211"/>
      <c r="H131" s="211"/>
      <c r="I131" s="211"/>
    </row>
    <row r="132" spans="1:9" ht="15.75" thickBot="1" x14ac:dyDescent="0.3">
      <c r="A132" s="211"/>
      <c r="B132" s="211"/>
      <c r="C132" s="211"/>
      <c r="D132" s="211"/>
      <c r="E132" s="211"/>
      <c r="F132" s="211"/>
      <c r="G132" s="211"/>
      <c r="H132" s="211"/>
      <c r="I132" s="211"/>
    </row>
    <row r="133" spans="1:9" ht="15.75" thickBot="1" x14ac:dyDescent="0.3">
      <c r="A133" s="211"/>
      <c r="B133" s="211"/>
      <c r="C133" s="211"/>
      <c r="D133" s="211"/>
      <c r="E133" s="211"/>
      <c r="F133" s="211"/>
      <c r="G133" s="211"/>
      <c r="H133" s="211"/>
      <c r="I133" s="211"/>
    </row>
    <row r="134" spans="1:9" ht="15.75" thickBot="1" x14ac:dyDescent="0.3">
      <c r="A134" s="211"/>
      <c r="B134" s="211"/>
      <c r="C134" s="211"/>
      <c r="D134" s="211"/>
      <c r="E134" s="211"/>
      <c r="F134" s="211"/>
      <c r="G134" s="211"/>
      <c r="H134" s="211"/>
      <c r="I134" s="211"/>
    </row>
    <row r="135" spans="1:9" ht="15.75" thickBot="1" x14ac:dyDescent="0.3">
      <c r="A135" s="211"/>
      <c r="B135" s="211"/>
      <c r="C135" s="211"/>
      <c r="D135" s="211"/>
      <c r="E135" s="211"/>
      <c r="F135" s="211"/>
      <c r="G135" s="211"/>
      <c r="H135" s="211"/>
      <c r="I135" s="211"/>
    </row>
    <row r="136" spans="1:9" ht="15.75" thickBot="1" x14ac:dyDescent="0.3">
      <c r="A136" s="211"/>
      <c r="B136" s="211"/>
      <c r="C136" s="211"/>
      <c r="D136" s="211"/>
      <c r="E136" s="211"/>
      <c r="F136" s="211"/>
      <c r="G136" s="211"/>
      <c r="H136" s="211"/>
      <c r="I136" s="211"/>
    </row>
    <row r="137" spans="1:9" ht="15.75" thickBot="1" x14ac:dyDescent="0.3">
      <c r="A137" s="211"/>
      <c r="B137" s="211"/>
      <c r="C137" s="211"/>
      <c r="D137" s="211"/>
      <c r="E137" s="211"/>
      <c r="F137" s="211"/>
      <c r="G137" s="211"/>
      <c r="H137" s="211"/>
      <c r="I137" s="211"/>
    </row>
    <row r="138" spans="1:9" ht="15.75" thickBot="1" x14ac:dyDescent="0.3">
      <c r="A138" s="211"/>
      <c r="B138" s="211"/>
      <c r="C138" s="211"/>
      <c r="D138" s="211"/>
      <c r="E138" s="211"/>
      <c r="F138" s="211"/>
      <c r="G138" s="211"/>
      <c r="H138" s="211"/>
      <c r="I138" s="211"/>
    </row>
    <row r="139" spans="1:9" ht="15.75" thickBot="1" x14ac:dyDescent="0.3">
      <c r="A139" s="211"/>
      <c r="B139" s="211"/>
      <c r="C139" s="211"/>
      <c r="D139" s="211"/>
      <c r="E139" s="211"/>
      <c r="F139" s="211"/>
      <c r="G139" s="211"/>
      <c r="H139" s="211"/>
      <c r="I139" s="211"/>
    </row>
    <row r="140" spans="1:9" ht="15.75" thickBot="1" x14ac:dyDescent="0.3">
      <c r="A140" s="211"/>
      <c r="B140" s="211"/>
      <c r="C140" s="211"/>
      <c r="D140" s="211"/>
      <c r="E140" s="211"/>
      <c r="F140" s="211"/>
      <c r="G140" s="211"/>
      <c r="H140" s="211"/>
      <c r="I140" s="211"/>
    </row>
    <row r="141" spans="1:9" ht="15.75" thickBot="1" x14ac:dyDescent="0.3">
      <c r="A141" s="211"/>
      <c r="B141" s="211"/>
      <c r="C141" s="211"/>
      <c r="D141" s="211"/>
      <c r="E141" s="211"/>
      <c r="F141" s="211"/>
      <c r="G141" s="211"/>
      <c r="H141" s="211"/>
      <c r="I141" s="211"/>
    </row>
    <row r="142" spans="1:9" ht="15.75" thickBot="1" x14ac:dyDescent="0.3">
      <c r="A142" s="211"/>
      <c r="B142" s="211"/>
      <c r="C142" s="211"/>
      <c r="D142" s="211"/>
      <c r="E142" s="211"/>
      <c r="F142" s="211"/>
      <c r="G142" s="211"/>
      <c r="H142" s="211"/>
      <c r="I142" s="211"/>
    </row>
    <row r="143" spans="1:9" ht="15.75" thickBot="1" x14ac:dyDescent="0.3">
      <c r="A143" s="211"/>
      <c r="B143" s="211"/>
      <c r="C143" s="211"/>
      <c r="D143" s="211"/>
      <c r="E143" s="211"/>
      <c r="F143" s="211"/>
      <c r="G143" s="211"/>
      <c r="H143" s="211"/>
      <c r="I143" s="211"/>
    </row>
    <row r="144" spans="1:9" ht="15.75" thickBot="1" x14ac:dyDescent="0.3">
      <c r="A144" s="211"/>
      <c r="B144" s="211"/>
      <c r="C144" s="211"/>
      <c r="D144" s="211"/>
      <c r="E144" s="211"/>
      <c r="F144" s="211"/>
      <c r="G144" s="211"/>
      <c r="H144" s="211"/>
      <c r="I144" s="211"/>
    </row>
    <row r="145" spans="1:9" ht="15.75" thickBot="1" x14ac:dyDescent="0.3">
      <c r="A145" s="211"/>
      <c r="B145" s="211"/>
      <c r="C145" s="211"/>
      <c r="D145" s="211"/>
      <c r="E145" s="211"/>
      <c r="F145" s="211"/>
      <c r="G145" s="211"/>
      <c r="H145" s="211"/>
      <c r="I145" s="211"/>
    </row>
    <row r="146" spans="1:9" ht="15.75" thickBot="1" x14ac:dyDescent="0.3">
      <c r="A146" s="211"/>
      <c r="B146" s="211"/>
      <c r="C146" s="211"/>
      <c r="D146" s="211"/>
      <c r="E146" s="211"/>
      <c r="F146" s="211"/>
      <c r="G146" s="211"/>
      <c r="H146" s="211"/>
      <c r="I146" s="211"/>
    </row>
    <row r="147" spans="1:9" ht="15.75" thickBot="1" x14ac:dyDescent="0.3">
      <c r="A147" s="211"/>
      <c r="B147" s="211"/>
      <c r="C147" s="211"/>
      <c r="D147" s="211"/>
      <c r="E147" s="211"/>
      <c r="F147" s="211"/>
      <c r="G147" s="211"/>
      <c r="H147" s="211"/>
      <c r="I147" s="211"/>
    </row>
    <row r="148" spans="1:9" ht="15.75" thickBot="1" x14ac:dyDescent="0.3">
      <c r="A148" s="211"/>
      <c r="B148" s="211"/>
      <c r="C148" s="211"/>
      <c r="D148" s="211"/>
      <c r="E148" s="211"/>
      <c r="F148" s="211"/>
      <c r="G148" s="211"/>
      <c r="H148" s="211"/>
      <c r="I148" s="211"/>
    </row>
    <row r="149" spans="1:9" ht="15.75" thickBot="1" x14ac:dyDescent="0.3">
      <c r="A149" s="211"/>
      <c r="B149" s="211"/>
      <c r="C149" s="211"/>
      <c r="D149" s="211"/>
      <c r="E149" s="211"/>
      <c r="F149" s="211"/>
      <c r="G149" s="211"/>
      <c r="H149" s="211"/>
      <c r="I149" s="211"/>
    </row>
    <row r="150" spans="1:9" ht="15.75" thickBot="1" x14ac:dyDescent="0.3">
      <c r="A150" s="211"/>
      <c r="B150" s="211"/>
      <c r="C150" s="211"/>
      <c r="D150" s="211"/>
      <c r="E150" s="211"/>
      <c r="F150" s="211"/>
      <c r="G150" s="211"/>
      <c r="H150" s="211"/>
      <c r="I150" s="211"/>
    </row>
    <row r="151" spans="1:9" ht="15.75" thickBot="1" x14ac:dyDescent="0.3">
      <c r="A151" s="211"/>
      <c r="B151" s="211"/>
      <c r="C151" s="211"/>
      <c r="D151" s="211"/>
      <c r="E151" s="211"/>
      <c r="F151" s="211"/>
      <c r="G151" s="211"/>
      <c r="H151" s="211"/>
      <c r="I151" s="211"/>
    </row>
    <row r="152" spans="1:9" ht="15.75" thickBot="1" x14ac:dyDescent="0.3">
      <c r="A152" s="211"/>
      <c r="B152" s="211"/>
      <c r="C152" s="211"/>
      <c r="D152" s="211"/>
      <c r="E152" s="211"/>
      <c r="F152" s="211"/>
      <c r="G152" s="211"/>
      <c r="H152" s="211"/>
      <c r="I152" s="211"/>
    </row>
    <row r="153" spans="1:9" ht="15.75" thickBot="1" x14ac:dyDescent="0.3">
      <c r="A153" s="211"/>
      <c r="B153" s="211"/>
      <c r="C153" s="211"/>
      <c r="D153" s="211"/>
      <c r="E153" s="211"/>
      <c r="F153" s="211"/>
      <c r="G153" s="211"/>
      <c r="H153" s="211"/>
      <c r="I153" s="211"/>
    </row>
    <row r="154" spans="1:9" ht="15.75" thickBot="1" x14ac:dyDescent="0.3">
      <c r="A154" s="211"/>
      <c r="B154" s="211"/>
      <c r="C154" s="211"/>
      <c r="D154" s="211"/>
      <c r="E154" s="211"/>
      <c r="F154" s="211"/>
      <c r="G154" s="211"/>
      <c r="H154" s="211"/>
      <c r="I154" s="211"/>
    </row>
    <row r="155" spans="1:9" ht="15.75" thickBot="1" x14ac:dyDescent="0.3">
      <c r="A155" s="211"/>
      <c r="B155" s="211"/>
      <c r="C155" s="211"/>
      <c r="D155" s="211"/>
      <c r="E155" s="211"/>
      <c r="F155" s="211"/>
      <c r="G155" s="211"/>
      <c r="H155" s="211"/>
      <c r="I155" s="211"/>
    </row>
    <row r="156" spans="1:9" ht="15.75" thickBot="1" x14ac:dyDescent="0.3">
      <c r="A156" s="211"/>
      <c r="B156" s="211"/>
      <c r="C156" s="211"/>
      <c r="D156" s="211"/>
      <c r="E156" s="211"/>
      <c r="F156" s="211"/>
      <c r="G156" s="211"/>
      <c r="H156" s="211"/>
      <c r="I156" s="211"/>
    </row>
    <row r="157" spans="1:9" ht="15.75" thickBot="1" x14ac:dyDescent="0.3">
      <c r="A157" s="211"/>
      <c r="B157" s="211"/>
      <c r="C157" s="211"/>
      <c r="D157" s="211"/>
      <c r="E157" s="211"/>
      <c r="F157" s="211"/>
      <c r="G157" s="211"/>
      <c r="H157" s="211"/>
      <c r="I157" s="211"/>
    </row>
    <row r="158" spans="1:9" ht="15.75" thickBot="1" x14ac:dyDescent="0.3">
      <c r="A158" s="211"/>
      <c r="B158" s="211"/>
      <c r="C158" s="211"/>
      <c r="D158" s="211"/>
      <c r="E158" s="211"/>
      <c r="F158" s="211"/>
      <c r="G158" s="211"/>
      <c r="H158" s="211"/>
      <c r="I158" s="211"/>
    </row>
    <row r="159" spans="1:9" ht="15.75" thickBot="1" x14ac:dyDescent="0.3">
      <c r="A159" s="211"/>
      <c r="B159" s="211"/>
      <c r="C159" s="211"/>
      <c r="D159" s="211"/>
      <c r="E159" s="211"/>
      <c r="F159" s="211"/>
      <c r="G159" s="211"/>
      <c r="H159" s="211"/>
      <c r="I159" s="211"/>
    </row>
    <row r="160" spans="1:9" ht="15.75" thickBot="1" x14ac:dyDescent="0.3">
      <c r="A160" s="211"/>
      <c r="B160" s="211"/>
      <c r="C160" s="211"/>
      <c r="D160" s="211"/>
      <c r="E160" s="211"/>
      <c r="F160" s="211"/>
      <c r="G160" s="211"/>
      <c r="H160" s="211"/>
      <c r="I160" s="211"/>
    </row>
    <row r="161" spans="1:9" ht="15.75" thickBot="1" x14ac:dyDescent="0.3">
      <c r="A161" s="211"/>
      <c r="B161" s="211"/>
      <c r="C161" s="211"/>
      <c r="D161" s="211"/>
      <c r="E161" s="211"/>
      <c r="F161" s="211"/>
      <c r="G161" s="211"/>
      <c r="H161" s="211"/>
      <c r="I161" s="211"/>
    </row>
    <row r="162" spans="1:9" ht="15.75" thickBot="1" x14ac:dyDescent="0.3">
      <c r="A162" s="211"/>
      <c r="B162" s="211"/>
      <c r="C162" s="211"/>
      <c r="D162" s="211"/>
      <c r="E162" s="211"/>
      <c r="F162" s="211"/>
      <c r="G162" s="211"/>
      <c r="H162" s="211"/>
      <c r="I162" s="211"/>
    </row>
    <row r="163" spans="1:9" ht="15.75" thickBot="1" x14ac:dyDescent="0.3">
      <c r="A163" s="211"/>
      <c r="B163" s="211"/>
      <c r="C163" s="211"/>
      <c r="D163" s="211"/>
      <c r="E163" s="211"/>
      <c r="F163" s="211"/>
      <c r="G163" s="211"/>
      <c r="H163" s="211"/>
      <c r="I163" s="211"/>
    </row>
    <row r="164" spans="1:9" ht="15.75" thickBot="1" x14ac:dyDescent="0.3">
      <c r="A164" s="211"/>
      <c r="B164" s="211"/>
      <c r="C164" s="211"/>
      <c r="D164" s="211"/>
      <c r="E164" s="211"/>
      <c r="F164" s="211"/>
      <c r="G164" s="211"/>
      <c r="H164" s="211"/>
      <c r="I164" s="211"/>
    </row>
    <row r="165" spans="1:9" ht="15.75" thickBot="1" x14ac:dyDescent="0.3">
      <c r="A165" s="211"/>
      <c r="B165" s="211"/>
      <c r="C165" s="211"/>
      <c r="D165" s="211"/>
      <c r="E165" s="211"/>
      <c r="F165" s="211"/>
      <c r="G165" s="211"/>
      <c r="H165" s="211"/>
      <c r="I165" s="211"/>
    </row>
    <row r="166" spans="1:9" ht="15.75" thickBot="1" x14ac:dyDescent="0.3">
      <c r="A166" s="211"/>
      <c r="B166" s="211"/>
      <c r="C166" s="211"/>
      <c r="D166" s="211"/>
      <c r="E166" s="211"/>
      <c r="F166" s="211"/>
      <c r="G166" s="211"/>
      <c r="H166" s="211"/>
      <c r="I166" s="211"/>
    </row>
    <row r="167" spans="1:9" ht="15.75" thickBot="1" x14ac:dyDescent="0.3">
      <c r="A167" s="211"/>
      <c r="B167" s="211"/>
      <c r="C167" s="211"/>
      <c r="D167" s="211"/>
      <c r="E167" s="211"/>
      <c r="F167" s="211"/>
      <c r="G167" s="211"/>
      <c r="H167" s="211"/>
      <c r="I167" s="211"/>
    </row>
    <row r="168" spans="1:9" ht="15.75" thickBot="1" x14ac:dyDescent="0.3">
      <c r="A168" s="211"/>
      <c r="B168" s="211"/>
      <c r="C168" s="211"/>
      <c r="D168" s="211"/>
      <c r="E168" s="211"/>
      <c r="F168" s="211"/>
      <c r="G168" s="211"/>
      <c r="H168" s="211"/>
      <c r="I168" s="211"/>
    </row>
    <row r="169" spans="1:9" ht="15.75" thickBot="1" x14ac:dyDescent="0.3">
      <c r="A169" s="211"/>
      <c r="B169" s="211"/>
      <c r="C169" s="211"/>
      <c r="D169" s="211"/>
      <c r="E169" s="211"/>
      <c r="F169" s="211"/>
      <c r="G169" s="211"/>
      <c r="H169" s="211"/>
      <c r="I169" s="211"/>
    </row>
    <row r="170" spans="1:9" ht="15.75" thickBot="1" x14ac:dyDescent="0.3">
      <c r="A170" s="211"/>
      <c r="B170" s="211"/>
      <c r="C170" s="211"/>
      <c r="D170" s="211"/>
      <c r="E170" s="211"/>
      <c r="F170" s="211"/>
      <c r="G170" s="211"/>
      <c r="H170" s="211"/>
      <c r="I170" s="211"/>
    </row>
    <row r="171" spans="1:9" ht="15.75" thickBot="1" x14ac:dyDescent="0.3">
      <c r="A171" s="211"/>
      <c r="B171" s="211"/>
      <c r="C171" s="211"/>
      <c r="D171" s="211"/>
      <c r="E171" s="211"/>
      <c r="F171" s="211"/>
      <c r="G171" s="211"/>
      <c r="H171" s="211"/>
      <c r="I171" s="211"/>
    </row>
    <row r="172" spans="1:9" ht="15.75" thickBot="1" x14ac:dyDescent="0.3">
      <c r="A172" s="211"/>
      <c r="B172" s="211"/>
      <c r="C172" s="211"/>
      <c r="D172" s="211"/>
      <c r="E172" s="211"/>
      <c r="F172" s="211"/>
      <c r="G172" s="211"/>
      <c r="H172" s="211"/>
      <c r="I172" s="211"/>
    </row>
    <row r="173" spans="1:9" ht="15.75" thickBot="1" x14ac:dyDescent="0.3">
      <c r="A173" s="211"/>
      <c r="B173" s="211"/>
      <c r="C173" s="211"/>
      <c r="D173" s="211"/>
      <c r="E173" s="211"/>
      <c r="F173" s="211"/>
      <c r="G173" s="211"/>
      <c r="H173" s="211"/>
      <c r="I173" s="211"/>
    </row>
    <row r="174" spans="1:9" ht="15.75" thickBot="1" x14ac:dyDescent="0.3">
      <c r="A174" s="211"/>
      <c r="B174" s="211"/>
      <c r="C174" s="211"/>
      <c r="D174" s="211"/>
      <c r="E174" s="211"/>
      <c r="F174" s="211"/>
      <c r="G174" s="211"/>
      <c r="H174" s="211"/>
      <c r="I174" s="211"/>
    </row>
    <row r="175" spans="1:9" ht="15.75" thickBot="1" x14ac:dyDescent="0.3">
      <c r="A175" s="211"/>
      <c r="B175" s="211"/>
      <c r="C175" s="211"/>
      <c r="D175" s="211"/>
      <c r="E175" s="211"/>
      <c r="F175" s="211"/>
      <c r="G175" s="211"/>
      <c r="H175" s="211"/>
      <c r="I175" s="211"/>
    </row>
    <row r="176" spans="1:9" ht="15.75" thickBot="1" x14ac:dyDescent="0.3">
      <c r="A176" s="211"/>
      <c r="B176" s="211"/>
      <c r="C176" s="211"/>
      <c r="D176" s="211"/>
      <c r="E176" s="211"/>
      <c r="F176" s="211"/>
      <c r="G176" s="211"/>
      <c r="H176" s="211"/>
      <c r="I176" s="211"/>
    </row>
    <row r="177" spans="1:9" ht="15.75" thickBot="1" x14ac:dyDescent="0.3">
      <c r="A177" s="211"/>
      <c r="B177" s="211"/>
      <c r="C177" s="211"/>
      <c r="D177" s="211"/>
      <c r="E177" s="211"/>
      <c r="F177" s="211"/>
      <c r="G177" s="211"/>
      <c r="H177" s="211"/>
      <c r="I177" s="211"/>
    </row>
    <row r="178" spans="1:9" ht="15.75" thickBot="1" x14ac:dyDescent="0.3">
      <c r="A178" s="211"/>
      <c r="B178" s="211"/>
      <c r="C178" s="211"/>
      <c r="D178" s="211"/>
      <c r="E178" s="211"/>
      <c r="F178" s="211"/>
      <c r="G178" s="211"/>
      <c r="H178" s="211"/>
      <c r="I178" s="211"/>
    </row>
    <row r="179" spans="1:9" ht="15.75" thickBot="1" x14ac:dyDescent="0.3">
      <c r="A179" s="211"/>
      <c r="B179" s="211"/>
      <c r="C179" s="211"/>
      <c r="D179" s="211"/>
      <c r="E179" s="211"/>
      <c r="F179" s="211"/>
      <c r="G179" s="211"/>
      <c r="H179" s="211"/>
      <c r="I179" s="211"/>
    </row>
    <row r="180" spans="1:9" ht="15.75" thickBot="1" x14ac:dyDescent="0.3">
      <c r="A180" s="211"/>
      <c r="B180" s="211"/>
      <c r="C180" s="211"/>
      <c r="D180" s="211"/>
      <c r="E180" s="211"/>
      <c r="F180" s="211"/>
      <c r="G180" s="211"/>
      <c r="H180" s="211"/>
      <c r="I180" s="211"/>
    </row>
    <row r="181" spans="1:9" ht="15.75" thickBot="1" x14ac:dyDescent="0.3">
      <c r="A181" s="211"/>
      <c r="B181" s="211"/>
      <c r="C181" s="211"/>
      <c r="D181" s="211"/>
      <c r="E181" s="211"/>
      <c r="F181" s="211"/>
      <c r="G181" s="211"/>
      <c r="H181" s="211"/>
      <c r="I181" s="211"/>
    </row>
    <row r="182" spans="1:9" ht="15.75" thickBot="1" x14ac:dyDescent="0.3">
      <c r="A182" s="211"/>
      <c r="B182" s="211"/>
      <c r="C182" s="211"/>
      <c r="D182" s="211"/>
      <c r="E182" s="211"/>
      <c r="F182" s="211"/>
      <c r="G182" s="211"/>
      <c r="H182" s="211"/>
      <c r="I182" s="211"/>
    </row>
    <row r="183" spans="1:9" ht="15.75" thickBot="1" x14ac:dyDescent="0.3">
      <c r="A183" s="211"/>
      <c r="B183" s="211"/>
      <c r="C183" s="211"/>
      <c r="D183" s="211"/>
      <c r="E183" s="211"/>
      <c r="F183" s="211"/>
      <c r="G183" s="211"/>
      <c r="H183" s="211"/>
      <c r="I183" s="211"/>
    </row>
    <row r="184" spans="1:9" ht="15.75" thickBot="1" x14ac:dyDescent="0.3">
      <c r="A184" s="211"/>
      <c r="B184" s="211"/>
      <c r="C184" s="211"/>
      <c r="D184" s="211"/>
      <c r="E184" s="211"/>
      <c r="F184" s="211"/>
      <c r="G184" s="211"/>
      <c r="H184" s="211"/>
      <c r="I184" s="211"/>
    </row>
    <row r="185" spans="1:9" ht="15.75" thickBot="1" x14ac:dyDescent="0.3">
      <c r="A185" s="211"/>
      <c r="B185" s="211"/>
      <c r="C185" s="211"/>
      <c r="D185" s="211"/>
      <c r="E185" s="211"/>
      <c r="F185" s="211"/>
      <c r="G185" s="211"/>
      <c r="H185" s="211"/>
      <c r="I185" s="211"/>
    </row>
    <row r="186" spans="1:9" ht="15.75" thickBot="1" x14ac:dyDescent="0.3">
      <c r="A186" s="211"/>
      <c r="B186" s="211"/>
      <c r="C186" s="211"/>
      <c r="D186" s="211"/>
      <c r="E186" s="211"/>
      <c r="F186" s="211"/>
      <c r="G186" s="211"/>
      <c r="H186" s="211"/>
      <c r="I186" s="211"/>
    </row>
    <row r="187" spans="1:9" ht="15.75" thickBot="1" x14ac:dyDescent="0.3">
      <c r="A187" s="211"/>
      <c r="B187" s="211"/>
      <c r="C187" s="211"/>
      <c r="D187" s="211"/>
      <c r="E187" s="211"/>
      <c r="F187" s="211"/>
      <c r="G187" s="211"/>
      <c r="H187" s="211"/>
      <c r="I187" s="211"/>
    </row>
    <row r="188" spans="1:9" ht="15.75" thickBot="1" x14ac:dyDescent="0.3">
      <c r="A188" s="211"/>
      <c r="B188" s="211"/>
      <c r="C188" s="211"/>
      <c r="D188" s="211"/>
      <c r="E188" s="211"/>
      <c r="F188" s="211"/>
      <c r="G188" s="211"/>
      <c r="H188" s="211"/>
      <c r="I188" s="211"/>
    </row>
    <row r="189" spans="1:9" ht="15.75" thickBot="1" x14ac:dyDescent="0.3">
      <c r="A189" s="211"/>
      <c r="B189" s="211"/>
      <c r="C189" s="211"/>
      <c r="D189" s="211"/>
      <c r="E189" s="211"/>
      <c r="F189" s="211"/>
      <c r="G189" s="211"/>
      <c r="H189" s="211"/>
      <c r="I189" s="211"/>
    </row>
    <row r="190" spans="1:9" ht="15.75" thickBot="1" x14ac:dyDescent="0.3">
      <c r="A190" s="211"/>
      <c r="B190" s="211"/>
      <c r="C190" s="211"/>
      <c r="D190" s="211"/>
      <c r="E190" s="211"/>
      <c r="F190" s="211"/>
      <c r="G190" s="211"/>
      <c r="H190" s="211"/>
      <c r="I190" s="211"/>
    </row>
    <row r="191" spans="1:9" ht="15.75" thickBot="1" x14ac:dyDescent="0.3">
      <c r="A191" s="211"/>
      <c r="B191" s="211"/>
      <c r="C191" s="211"/>
      <c r="D191" s="211"/>
      <c r="E191" s="211"/>
      <c r="F191" s="211"/>
      <c r="G191" s="211"/>
      <c r="H191" s="211"/>
      <c r="I191" s="211"/>
    </row>
    <row r="192" spans="1:9" ht="15.75" thickBot="1" x14ac:dyDescent="0.3">
      <c r="A192" s="211"/>
      <c r="B192" s="211"/>
      <c r="C192" s="211"/>
      <c r="D192" s="211"/>
      <c r="E192" s="211"/>
      <c r="F192" s="211"/>
      <c r="G192" s="211"/>
      <c r="H192" s="211"/>
      <c r="I192" s="211"/>
    </row>
    <row r="193" spans="1:9" ht="15.75" thickBot="1" x14ac:dyDescent="0.3">
      <c r="A193" s="211"/>
      <c r="B193" s="211"/>
      <c r="C193" s="211"/>
      <c r="D193" s="211"/>
      <c r="E193" s="211"/>
      <c r="F193" s="211"/>
      <c r="G193" s="211"/>
      <c r="H193" s="211"/>
      <c r="I193" s="211"/>
    </row>
    <row r="194" spans="1:9" ht="15.75" thickBot="1" x14ac:dyDescent="0.3">
      <c r="A194" s="211"/>
      <c r="B194" s="211"/>
      <c r="C194" s="211"/>
      <c r="D194" s="211"/>
      <c r="E194" s="211"/>
      <c r="F194" s="211"/>
      <c r="G194" s="211"/>
      <c r="H194" s="211"/>
      <c r="I194" s="211"/>
    </row>
    <row r="195" spans="1:9" ht="15.75" thickBot="1" x14ac:dyDescent="0.3">
      <c r="A195" s="211"/>
      <c r="B195" s="211"/>
      <c r="C195" s="211"/>
      <c r="D195" s="211"/>
      <c r="E195" s="211"/>
      <c r="F195" s="211"/>
      <c r="G195" s="211"/>
      <c r="H195" s="211"/>
      <c r="I195" s="211"/>
    </row>
    <row r="196" spans="1:9" ht="15.75" thickBot="1" x14ac:dyDescent="0.3">
      <c r="A196" s="211"/>
      <c r="B196" s="211"/>
      <c r="C196" s="211"/>
      <c r="D196" s="211"/>
      <c r="E196" s="211"/>
      <c r="F196" s="211"/>
      <c r="G196" s="211"/>
      <c r="H196" s="211"/>
      <c r="I196" s="211"/>
    </row>
    <row r="197" spans="1:9" ht="15.75" thickBot="1" x14ac:dyDescent="0.3">
      <c r="A197" s="211"/>
      <c r="B197" s="211"/>
      <c r="C197" s="211"/>
      <c r="D197" s="211"/>
      <c r="E197" s="211"/>
      <c r="F197" s="211"/>
      <c r="G197" s="211"/>
      <c r="H197" s="211"/>
      <c r="I197" s="211"/>
    </row>
    <row r="198" spans="1:9" ht="15.75" thickBot="1" x14ac:dyDescent="0.3">
      <c r="A198" s="211"/>
      <c r="B198" s="211"/>
      <c r="C198" s="211"/>
      <c r="D198" s="211"/>
      <c r="E198" s="211"/>
      <c r="F198" s="211"/>
      <c r="G198" s="211"/>
      <c r="H198" s="211"/>
      <c r="I198" s="211"/>
    </row>
    <row r="199" spans="1:9" ht="15.75" thickBot="1" x14ac:dyDescent="0.3">
      <c r="A199" s="211"/>
      <c r="B199" s="211"/>
      <c r="C199" s="211"/>
      <c r="D199" s="211"/>
      <c r="E199" s="211"/>
      <c r="F199" s="211"/>
      <c r="G199" s="211"/>
      <c r="H199" s="211"/>
      <c r="I199" s="211"/>
    </row>
    <row r="200" spans="1:9" ht="15.75" thickBot="1" x14ac:dyDescent="0.3">
      <c r="A200" s="211"/>
      <c r="B200" s="211"/>
      <c r="C200" s="211"/>
      <c r="D200" s="211"/>
      <c r="E200" s="211"/>
      <c r="F200" s="211"/>
      <c r="G200" s="211"/>
      <c r="H200" s="211"/>
      <c r="I200" s="211"/>
    </row>
    <row r="201" spans="1:9" ht="15.75" thickBot="1" x14ac:dyDescent="0.3">
      <c r="A201" s="211"/>
      <c r="B201" s="211"/>
      <c r="C201" s="211"/>
      <c r="D201" s="211"/>
      <c r="E201" s="211"/>
      <c r="F201" s="211"/>
      <c r="G201" s="211"/>
      <c r="H201" s="211"/>
      <c r="I201" s="211"/>
    </row>
    <row r="202" spans="1:9" ht="15.75" thickBot="1" x14ac:dyDescent="0.3">
      <c r="A202" s="211"/>
      <c r="B202" s="211"/>
      <c r="C202" s="211"/>
      <c r="D202" s="211"/>
      <c r="E202" s="211"/>
      <c r="F202" s="211"/>
      <c r="G202" s="211"/>
      <c r="H202" s="211"/>
      <c r="I202" s="211"/>
    </row>
    <row r="203" spans="1:9" ht="15.75" thickBot="1" x14ac:dyDescent="0.3">
      <c r="A203" s="211"/>
      <c r="B203" s="211"/>
      <c r="C203" s="211"/>
      <c r="D203" s="211"/>
      <c r="E203" s="211"/>
      <c r="F203" s="211"/>
      <c r="G203" s="211"/>
      <c r="H203" s="211"/>
      <c r="I203" s="211"/>
    </row>
    <row r="204" spans="1:9" ht="15.75" thickBot="1" x14ac:dyDescent="0.3">
      <c r="A204" s="211"/>
      <c r="B204" s="211"/>
      <c r="C204" s="211"/>
      <c r="D204" s="211"/>
      <c r="E204" s="211"/>
      <c r="F204" s="211"/>
      <c r="G204" s="211"/>
      <c r="H204" s="211"/>
      <c r="I204" s="211"/>
    </row>
    <row r="205" spans="1:9" ht="15.75" thickBot="1" x14ac:dyDescent="0.3">
      <c r="A205" s="211"/>
      <c r="B205" s="211"/>
      <c r="C205" s="211"/>
      <c r="D205" s="211"/>
      <c r="E205" s="211"/>
      <c r="F205" s="211"/>
      <c r="G205" s="211"/>
      <c r="H205" s="211"/>
      <c r="I205" s="211"/>
    </row>
    <row r="206" spans="1:9" ht="15.75" thickBot="1" x14ac:dyDescent="0.3">
      <c r="A206" s="211"/>
      <c r="B206" s="211"/>
      <c r="C206" s="211"/>
      <c r="D206" s="211"/>
      <c r="E206" s="211"/>
      <c r="F206" s="211"/>
      <c r="G206" s="211"/>
      <c r="H206" s="211"/>
      <c r="I206" s="211"/>
    </row>
    <row r="207" spans="1:9" ht="15.75" thickBot="1" x14ac:dyDescent="0.3">
      <c r="A207" s="211"/>
      <c r="B207" s="211"/>
      <c r="C207" s="211"/>
      <c r="D207" s="211"/>
      <c r="E207" s="211"/>
      <c r="F207" s="211"/>
      <c r="G207" s="211"/>
      <c r="H207" s="211"/>
      <c r="I207" s="211"/>
    </row>
    <row r="208" spans="1:9" ht="15.75" thickBot="1" x14ac:dyDescent="0.3">
      <c r="A208" s="211"/>
      <c r="B208" s="211"/>
      <c r="C208" s="211"/>
      <c r="D208" s="211"/>
      <c r="E208" s="211"/>
      <c r="F208" s="211"/>
      <c r="G208" s="211"/>
      <c r="H208" s="211"/>
      <c r="I208" s="211"/>
    </row>
    <row r="209" spans="1:9" ht="15.75" thickBot="1" x14ac:dyDescent="0.3">
      <c r="A209" s="211"/>
      <c r="B209" s="211"/>
      <c r="C209" s="211"/>
      <c r="D209" s="211"/>
      <c r="E209" s="211"/>
      <c r="F209" s="211"/>
      <c r="G209" s="211"/>
      <c r="H209" s="211"/>
      <c r="I209" s="211"/>
    </row>
    <row r="210" spans="1:9" ht="15.75" thickBot="1" x14ac:dyDescent="0.3">
      <c r="A210" s="211"/>
      <c r="B210" s="211"/>
      <c r="C210" s="211"/>
      <c r="D210" s="211"/>
      <c r="E210" s="211"/>
      <c r="F210" s="211"/>
      <c r="G210" s="211"/>
      <c r="H210" s="211"/>
      <c r="I210" s="211"/>
    </row>
    <row r="211" spans="1:9" ht="15.75" thickBot="1" x14ac:dyDescent="0.3">
      <c r="A211" s="211"/>
      <c r="B211" s="211"/>
      <c r="C211" s="211"/>
      <c r="D211" s="211"/>
      <c r="E211" s="211"/>
      <c r="F211" s="211"/>
      <c r="G211" s="211"/>
      <c r="H211" s="211"/>
      <c r="I211" s="211"/>
    </row>
    <row r="212" spans="1:9" ht="15.75" thickBot="1" x14ac:dyDescent="0.3">
      <c r="A212" s="211"/>
      <c r="B212" s="211"/>
      <c r="C212" s="211"/>
      <c r="D212" s="211"/>
      <c r="E212" s="211"/>
      <c r="F212" s="211"/>
      <c r="G212" s="211"/>
      <c r="H212" s="211"/>
      <c r="I212" s="211"/>
    </row>
    <row r="213" spans="1:9" ht="15.75" thickBot="1" x14ac:dyDescent="0.3">
      <c r="A213" s="211"/>
      <c r="B213" s="211"/>
      <c r="C213" s="211"/>
      <c r="D213" s="211"/>
      <c r="E213" s="211"/>
      <c r="F213" s="211"/>
      <c r="G213" s="211"/>
      <c r="H213" s="211"/>
      <c r="I213" s="211"/>
    </row>
    <row r="214" spans="1:9" ht="15.75" thickBot="1" x14ac:dyDescent="0.3">
      <c r="A214" s="211"/>
      <c r="B214" s="211"/>
      <c r="C214" s="211"/>
      <c r="D214" s="211"/>
      <c r="E214" s="211"/>
      <c r="F214" s="211"/>
      <c r="G214" s="211"/>
      <c r="H214" s="211"/>
      <c r="I214" s="211"/>
    </row>
    <row r="215" spans="1:9" ht="15.75" thickBot="1" x14ac:dyDescent="0.3">
      <c r="A215" s="211"/>
      <c r="B215" s="211"/>
      <c r="C215" s="211"/>
      <c r="D215" s="211"/>
      <c r="E215" s="211"/>
      <c r="F215" s="211"/>
      <c r="G215" s="211"/>
      <c r="H215" s="211"/>
      <c r="I215" s="211"/>
    </row>
    <row r="216" spans="1:9" ht="15.75" thickBot="1" x14ac:dyDescent="0.3">
      <c r="A216" s="211"/>
      <c r="B216" s="211"/>
      <c r="C216" s="211"/>
      <c r="D216" s="211"/>
      <c r="E216" s="211"/>
      <c r="F216" s="211"/>
      <c r="G216" s="211"/>
      <c r="H216" s="211"/>
      <c r="I216" s="211"/>
    </row>
    <row r="217" spans="1:9" ht="15.75" thickBot="1" x14ac:dyDescent="0.3">
      <c r="A217" s="211"/>
      <c r="B217" s="211"/>
      <c r="C217" s="211"/>
      <c r="D217" s="211"/>
      <c r="E217" s="211"/>
      <c r="F217" s="211"/>
      <c r="G217" s="211"/>
      <c r="H217" s="211"/>
      <c r="I217" s="211"/>
    </row>
    <row r="218" spans="1:9" ht="15.75" thickBot="1" x14ac:dyDescent="0.3">
      <c r="A218" s="211"/>
      <c r="B218" s="211"/>
      <c r="C218" s="211"/>
      <c r="D218" s="211"/>
      <c r="E218" s="211"/>
      <c r="F218" s="211"/>
      <c r="G218" s="211"/>
      <c r="H218" s="211"/>
      <c r="I218" s="211"/>
    </row>
    <row r="219" spans="1:9" ht="15.75" thickBot="1" x14ac:dyDescent="0.3">
      <c r="A219" s="211"/>
      <c r="B219" s="211"/>
      <c r="C219" s="211"/>
      <c r="D219" s="211"/>
      <c r="E219" s="211"/>
      <c r="F219" s="211"/>
      <c r="G219" s="211"/>
      <c r="H219" s="211"/>
      <c r="I219" s="211"/>
    </row>
    <row r="220" spans="1:9" ht="15.75" thickBot="1" x14ac:dyDescent="0.3">
      <c r="A220" s="211"/>
      <c r="B220" s="211"/>
      <c r="C220" s="211"/>
      <c r="D220" s="211"/>
      <c r="E220" s="211"/>
      <c r="F220" s="211"/>
      <c r="G220" s="211"/>
      <c r="H220" s="211"/>
      <c r="I220" s="211"/>
    </row>
    <row r="221" spans="1:9" ht="15.75" thickBot="1" x14ac:dyDescent="0.3">
      <c r="A221" s="211"/>
      <c r="B221" s="211"/>
      <c r="C221" s="211"/>
      <c r="D221" s="211"/>
      <c r="E221" s="211"/>
      <c r="F221" s="211"/>
      <c r="G221" s="211"/>
      <c r="H221" s="211"/>
      <c r="I221" s="211"/>
    </row>
    <row r="222" spans="1:9" ht="15.75" thickBot="1" x14ac:dyDescent="0.3">
      <c r="A222" s="211"/>
      <c r="B222" s="211"/>
      <c r="C222" s="211"/>
      <c r="D222" s="211"/>
      <c r="E222" s="211"/>
      <c r="F222" s="211"/>
      <c r="G222" s="211"/>
      <c r="H222" s="211"/>
      <c r="I222" s="211"/>
    </row>
    <row r="223" spans="1:9" ht="15.75" thickBot="1" x14ac:dyDescent="0.3">
      <c r="A223" s="211"/>
      <c r="B223" s="211"/>
      <c r="C223" s="211"/>
      <c r="D223" s="211"/>
      <c r="E223" s="211"/>
      <c r="F223" s="211"/>
      <c r="G223" s="211"/>
      <c r="H223" s="211"/>
      <c r="I223" s="211"/>
    </row>
    <row r="224" spans="1:9" ht="15.75" thickBot="1" x14ac:dyDescent="0.3">
      <c r="A224" s="211"/>
      <c r="B224" s="211"/>
      <c r="C224" s="211"/>
      <c r="D224" s="211"/>
      <c r="E224" s="211"/>
      <c r="F224" s="211"/>
      <c r="G224" s="211"/>
      <c r="H224" s="211"/>
      <c r="I224" s="211"/>
    </row>
    <row r="225" spans="1:9" ht="15.75" thickBot="1" x14ac:dyDescent="0.3">
      <c r="A225" s="211"/>
      <c r="B225" s="211"/>
      <c r="C225" s="211"/>
      <c r="D225" s="211"/>
      <c r="E225" s="211"/>
      <c r="F225" s="211"/>
      <c r="G225" s="211"/>
      <c r="H225" s="211"/>
      <c r="I225" s="211"/>
    </row>
    <row r="226" spans="1:9" ht="15.75" thickBot="1" x14ac:dyDescent="0.3">
      <c r="A226" s="211"/>
      <c r="B226" s="211"/>
      <c r="C226" s="211"/>
      <c r="D226" s="211"/>
      <c r="E226" s="211"/>
      <c r="F226" s="211"/>
      <c r="G226" s="211"/>
      <c r="H226" s="211"/>
      <c r="I226" s="211"/>
    </row>
    <row r="227" spans="1:9" ht="15.75" thickBot="1" x14ac:dyDescent="0.3">
      <c r="A227" s="211"/>
      <c r="B227" s="211"/>
      <c r="C227" s="211"/>
      <c r="D227" s="211"/>
      <c r="E227" s="211"/>
      <c r="F227" s="211"/>
      <c r="G227" s="211"/>
      <c r="H227" s="211"/>
      <c r="I227" s="211"/>
    </row>
    <row r="228" spans="1:9" ht="15.75" thickBot="1" x14ac:dyDescent="0.3">
      <c r="A228" s="211"/>
      <c r="B228" s="211"/>
      <c r="C228" s="211"/>
      <c r="D228" s="211"/>
      <c r="E228" s="211"/>
      <c r="F228" s="211"/>
      <c r="G228" s="211"/>
      <c r="H228" s="211"/>
      <c r="I228" s="211"/>
    </row>
    <row r="229" spans="1:9" ht="15.75" thickBot="1" x14ac:dyDescent="0.3">
      <c r="A229" s="211"/>
      <c r="B229" s="211"/>
      <c r="C229" s="211"/>
      <c r="D229" s="211"/>
      <c r="E229" s="211"/>
      <c r="F229" s="211"/>
      <c r="G229" s="211"/>
      <c r="H229" s="211"/>
      <c r="I229" s="211"/>
    </row>
    <row r="230" spans="1:9" ht="15.75" thickBot="1" x14ac:dyDescent="0.3">
      <c r="A230" s="211"/>
      <c r="B230" s="211"/>
      <c r="C230" s="211"/>
      <c r="D230" s="211"/>
      <c r="E230" s="211"/>
      <c r="F230" s="211"/>
      <c r="G230" s="211"/>
      <c r="H230" s="211"/>
      <c r="I230" s="211"/>
    </row>
    <row r="231" spans="1:9" ht="15.75" thickBot="1" x14ac:dyDescent="0.3">
      <c r="A231" s="211"/>
      <c r="B231" s="211"/>
      <c r="C231" s="211"/>
      <c r="D231" s="211"/>
      <c r="E231" s="211"/>
      <c r="F231" s="211"/>
      <c r="G231" s="211"/>
      <c r="H231" s="211"/>
      <c r="I231" s="211"/>
    </row>
    <row r="232" spans="1:9" ht="15.75" thickBot="1" x14ac:dyDescent="0.3">
      <c r="A232" s="211"/>
      <c r="B232" s="211"/>
      <c r="C232" s="211"/>
      <c r="D232" s="211"/>
      <c r="E232" s="211"/>
      <c r="F232" s="211"/>
      <c r="G232" s="211"/>
      <c r="H232" s="211"/>
      <c r="I232" s="211"/>
    </row>
    <row r="233" spans="1:9" ht="15.75" thickBot="1" x14ac:dyDescent="0.3">
      <c r="A233" s="211"/>
      <c r="B233" s="211"/>
      <c r="C233" s="211"/>
      <c r="D233" s="211"/>
      <c r="E233" s="211"/>
      <c r="F233" s="211"/>
      <c r="G233" s="211"/>
      <c r="H233" s="211"/>
      <c r="I233" s="211"/>
    </row>
    <row r="234" spans="1:9" ht="15.75" thickBot="1" x14ac:dyDescent="0.3">
      <c r="A234" s="211"/>
      <c r="B234" s="211"/>
      <c r="C234" s="211"/>
      <c r="D234" s="211"/>
      <c r="E234" s="211"/>
      <c r="F234" s="211"/>
      <c r="G234" s="211"/>
      <c r="H234" s="211"/>
      <c r="I234" s="211"/>
    </row>
    <row r="235" spans="1:9" ht="15.75" thickBot="1" x14ac:dyDescent="0.3">
      <c r="A235" s="211"/>
      <c r="B235" s="211"/>
      <c r="C235" s="211"/>
      <c r="D235" s="211"/>
      <c r="E235" s="211"/>
      <c r="F235" s="211"/>
      <c r="G235" s="211"/>
      <c r="H235" s="211"/>
      <c r="I235" s="211"/>
    </row>
    <row r="236" spans="1:9" ht="15.75" thickBot="1" x14ac:dyDescent="0.3">
      <c r="A236" s="211"/>
      <c r="B236" s="211"/>
      <c r="C236" s="211"/>
      <c r="D236" s="211"/>
      <c r="E236" s="211"/>
      <c r="F236" s="211"/>
      <c r="G236" s="211"/>
      <c r="H236" s="211"/>
      <c r="I236" s="211"/>
    </row>
    <row r="237" spans="1:9" ht="15.75" thickBot="1" x14ac:dyDescent="0.3">
      <c r="A237" s="211"/>
      <c r="B237" s="211"/>
      <c r="C237" s="211"/>
      <c r="D237" s="211"/>
      <c r="E237" s="211"/>
      <c r="F237" s="211"/>
      <c r="G237" s="211"/>
      <c r="H237" s="211"/>
      <c r="I237" s="211"/>
    </row>
    <row r="238" spans="1:9" ht="15.75" thickBot="1" x14ac:dyDescent="0.3">
      <c r="A238" s="211"/>
      <c r="B238" s="211"/>
      <c r="C238" s="211"/>
      <c r="D238" s="211"/>
      <c r="E238" s="211"/>
      <c r="F238" s="211"/>
      <c r="G238" s="211"/>
      <c r="H238" s="211"/>
      <c r="I238" s="211"/>
    </row>
    <row r="239" spans="1:9" ht="15.75" thickBot="1" x14ac:dyDescent="0.3">
      <c r="A239" s="211"/>
      <c r="B239" s="211"/>
      <c r="C239" s="211"/>
      <c r="D239" s="211"/>
      <c r="E239" s="211"/>
      <c r="F239" s="211"/>
      <c r="G239" s="211"/>
      <c r="H239" s="211"/>
      <c r="I239" s="211"/>
    </row>
    <row r="240" spans="1:9" ht="15.75" thickBot="1" x14ac:dyDescent="0.3">
      <c r="A240" s="211"/>
      <c r="B240" s="211"/>
      <c r="C240" s="211"/>
      <c r="D240" s="211"/>
      <c r="E240" s="211"/>
      <c r="F240" s="211"/>
      <c r="G240" s="211"/>
      <c r="H240" s="211"/>
      <c r="I240" s="211"/>
    </row>
    <row r="241" spans="1:9" ht="15.75" thickBot="1" x14ac:dyDescent="0.3">
      <c r="A241" s="211"/>
      <c r="B241" s="211"/>
      <c r="C241" s="211"/>
      <c r="D241" s="211"/>
      <c r="E241" s="211"/>
      <c r="F241" s="211"/>
      <c r="G241" s="211"/>
      <c r="H241" s="211"/>
      <c r="I241" s="211"/>
    </row>
    <row r="242" spans="1:9" ht="15.75" thickBot="1" x14ac:dyDescent="0.3">
      <c r="A242" s="211"/>
      <c r="B242" s="211"/>
      <c r="C242" s="211"/>
      <c r="D242" s="211"/>
      <c r="E242" s="211"/>
      <c r="F242" s="211"/>
      <c r="G242" s="211"/>
      <c r="H242" s="211"/>
      <c r="I242" s="211"/>
    </row>
    <row r="243" spans="1:9" ht="15.75" thickBot="1" x14ac:dyDescent="0.3">
      <c r="A243" s="211"/>
      <c r="B243" s="211"/>
      <c r="C243" s="211"/>
      <c r="D243" s="211"/>
      <c r="E243" s="211"/>
      <c r="F243" s="211"/>
      <c r="G243" s="211"/>
      <c r="H243" s="211"/>
      <c r="I243" s="211"/>
    </row>
    <row r="244" spans="1:9" ht="15.75" thickBot="1" x14ac:dyDescent="0.3">
      <c r="A244" s="211"/>
      <c r="B244" s="211"/>
      <c r="C244" s="211"/>
      <c r="D244" s="211"/>
      <c r="E244" s="211"/>
      <c r="F244" s="211"/>
      <c r="G244" s="211"/>
      <c r="H244" s="211"/>
      <c r="I244" s="211"/>
    </row>
    <row r="245" spans="1:9" ht="15.75" thickBot="1" x14ac:dyDescent="0.3">
      <c r="A245" s="211"/>
      <c r="B245" s="211"/>
      <c r="C245" s="211"/>
      <c r="D245" s="211"/>
      <c r="E245" s="211"/>
      <c r="F245" s="211"/>
      <c r="G245" s="211"/>
      <c r="H245" s="211"/>
      <c r="I245" s="211"/>
    </row>
    <row r="246" spans="1:9" ht="15.75" thickBot="1" x14ac:dyDescent="0.3">
      <c r="A246" s="211"/>
      <c r="B246" s="211"/>
      <c r="C246" s="211"/>
      <c r="D246" s="211"/>
      <c r="E246" s="211"/>
      <c r="F246" s="211"/>
      <c r="G246" s="211"/>
      <c r="H246" s="211"/>
      <c r="I246" s="211"/>
    </row>
    <row r="247" spans="1:9" ht="15.75" thickBot="1" x14ac:dyDescent="0.3">
      <c r="A247" s="211"/>
      <c r="B247" s="211"/>
      <c r="C247" s="211"/>
      <c r="D247" s="211"/>
      <c r="E247" s="211"/>
      <c r="F247" s="211"/>
      <c r="G247" s="211"/>
      <c r="H247" s="211"/>
      <c r="I247" s="211"/>
    </row>
    <row r="248" spans="1:9" ht="15.75" thickBot="1" x14ac:dyDescent="0.3">
      <c r="A248" s="211"/>
      <c r="B248" s="211"/>
      <c r="C248" s="211"/>
      <c r="D248" s="211"/>
      <c r="E248" s="211"/>
      <c r="F248" s="211"/>
      <c r="G248" s="211"/>
      <c r="H248" s="211"/>
      <c r="I248" s="211"/>
    </row>
    <row r="249" spans="1:9" ht="15.75" thickBot="1" x14ac:dyDescent="0.3">
      <c r="A249" s="211"/>
      <c r="B249" s="211"/>
      <c r="C249" s="211"/>
      <c r="D249" s="211"/>
      <c r="E249" s="211"/>
      <c r="F249" s="211"/>
      <c r="G249" s="211"/>
      <c r="H249" s="211"/>
      <c r="I249" s="211"/>
    </row>
    <row r="250" spans="1:9" ht="15.75" thickBot="1" x14ac:dyDescent="0.3">
      <c r="A250" s="211"/>
      <c r="B250" s="211"/>
      <c r="C250" s="211"/>
      <c r="D250" s="211"/>
      <c r="E250" s="211"/>
      <c r="F250" s="211"/>
      <c r="G250" s="211"/>
      <c r="H250" s="211"/>
      <c r="I250" s="211"/>
    </row>
    <row r="251" spans="1:9" ht="15.75" thickBot="1" x14ac:dyDescent="0.3">
      <c r="A251" s="211"/>
      <c r="B251" s="211"/>
      <c r="C251" s="211"/>
      <c r="D251" s="211"/>
      <c r="E251" s="211"/>
      <c r="F251" s="211"/>
      <c r="G251" s="211"/>
      <c r="H251" s="211"/>
      <c r="I251" s="211"/>
    </row>
    <row r="252" spans="1:9" ht="15.75" thickBot="1" x14ac:dyDescent="0.3">
      <c r="A252" s="211"/>
      <c r="B252" s="211"/>
      <c r="C252" s="211"/>
      <c r="D252" s="211"/>
      <c r="E252" s="211"/>
      <c r="F252" s="211"/>
      <c r="G252" s="211"/>
      <c r="H252" s="211"/>
      <c r="I252" s="211"/>
    </row>
    <row r="253" spans="1:9" ht="15.75" thickBot="1" x14ac:dyDescent="0.3">
      <c r="A253" s="211"/>
      <c r="B253" s="211"/>
      <c r="C253" s="211"/>
      <c r="D253" s="211"/>
      <c r="E253" s="211"/>
      <c r="F253" s="211"/>
      <c r="G253" s="211"/>
      <c r="H253" s="211"/>
      <c r="I253" s="211"/>
    </row>
    <row r="254" spans="1:9" ht="15.75" thickBot="1" x14ac:dyDescent="0.3">
      <c r="A254" s="211"/>
      <c r="B254" s="211"/>
      <c r="C254" s="211"/>
      <c r="D254" s="211"/>
      <c r="E254" s="211"/>
      <c r="F254" s="211"/>
      <c r="G254" s="211"/>
      <c r="H254" s="211"/>
      <c r="I254" s="211"/>
    </row>
    <row r="255" spans="1:9" ht="15.75" thickBot="1" x14ac:dyDescent="0.3">
      <c r="A255" s="211"/>
      <c r="B255" s="211"/>
      <c r="C255" s="211"/>
      <c r="D255" s="211"/>
      <c r="E255" s="211"/>
      <c r="F255" s="211"/>
      <c r="G255" s="211"/>
      <c r="H255" s="211"/>
      <c r="I255" s="211"/>
    </row>
    <row r="256" spans="1:9" ht="15.75" thickBot="1" x14ac:dyDescent="0.3">
      <c r="A256" s="211"/>
      <c r="B256" s="211"/>
      <c r="C256" s="211"/>
      <c r="D256" s="211"/>
      <c r="E256" s="211"/>
      <c r="F256" s="211"/>
      <c r="G256" s="211"/>
      <c r="H256" s="211"/>
      <c r="I256" s="211"/>
    </row>
    <row r="257" spans="1:9" ht="15.75" thickBot="1" x14ac:dyDescent="0.3">
      <c r="A257" s="211"/>
      <c r="B257" s="211"/>
      <c r="C257" s="211"/>
      <c r="D257" s="211"/>
      <c r="E257" s="211"/>
      <c r="F257" s="211"/>
      <c r="G257" s="211"/>
      <c r="H257" s="211"/>
      <c r="I257" s="211"/>
    </row>
    <row r="258" spans="1:9" ht="15.75" thickBot="1" x14ac:dyDescent="0.3">
      <c r="A258" s="211"/>
      <c r="B258" s="211"/>
      <c r="C258" s="211"/>
      <c r="D258" s="211"/>
      <c r="E258" s="211"/>
      <c r="F258" s="211"/>
      <c r="G258" s="211"/>
      <c r="H258" s="211"/>
      <c r="I258" s="211"/>
    </row>
    <row r="259" spans="1:9" ht="15.75" thickBot="1" x14ac:dyDescent="0.3">
      <c r="A259" s="211"/>
      <c r="B259" s="211"/>
      <c r="C259" s="211"/>
      <c r="D259" s="211"/>
      <c r="E259" s="211"/>
      <c r="F259" s="211"/>
      <c r="G259" s="211"/>
      <c r="H259" s="211"/>
      <c r="I259" s="211"/>
    </row>
    <row r="260" spans="1:9" ht="15.75" thickBot="1" x14ac:dyDescent="0.3">
      <c r="A260" s="211"/>
      <c r="B260" s="211"/>
      <c r="C260" s="211"/>
      <c r="D260" s="211"/>
      <c r="E260" s="211"/>
      <c r="F260" s="211"/>
      <c r="G260" s="211"/>
      <c r="H260" s="211"/>
      <c r="I260" s="211"/>
    </row>
    <row r="261" spans="1:9" ht="15.75" thickBot="1" x14ac:dyDescent="0.3">
      <c r="A261" s="211"/>
      <c r="B261" s="211"/>
      <c r="C261" s="211"/>
      <c r="D261" s="211"/>
      <c r="E261" s="211"/>
      <c r="F261" s="211"/>
      <c r="G261" s="211"/>
      <c r="H261" s="211"/>
      <c r="I261" s="211"/>
    </row>
    <row r="262" spans="1:9" ht="15.75" thickBot="1" x14ac:dyDescent="0.3">
      <c r="A262" s="211"/>
      <c r="B262" s="211"/>
      <c r="C262" s="211"/>
      <c r="D262" s="211"/>
      <c r="E262" s="211"/>
      <c r="F262" s="211"/>
      <c r="G262" s="211"/>
      <c r="H262" s="211"/>
      <c r="I262" s="211"/>
    </row>
    <row r="263" spans="1:9" ht="15.75" thickBot="1" x14ac:dyDescent="0.3">
      <c r="A263" s="211"/>
      <c r="B263" s="211"/>
      <c r="C263" s="211"/>
      <c r="D263" s="211"/>
      <c r="E263" s="211"/>
      <c r="F263" s="211"/>
      <c r="G263" s="211"/>
      <c r="H263" s="211"/>
      <c r="I263" s="211"/>
    </row>
    <row r="264" spans="1:9" ht="15.75" thickBot="1" x14ac:dyDescent="0.3">
      <c r="A264" s="211"/>
      <c r="B264" s="211"/>
      <c r="C264" s="211"/>
      <c r="D264" s="211"/>
      <c r="E264" s="211"/>
      <c r="F264" s="211"/>
      <c r="G264" s="211"/>
      <c r="H264" s="211"/>
      <c r="I264" s="211"/>
    </row>
    <row r="265" spans="1:9" ht="15.75" thickBot="1" x14ac:dyDescent="0.3">
      <c r="A265" s="211"/>
      <c r="B265" s="211"/>
      <c r="C265" s="211"/>
      <c r="D265" s="211"/>
      <c r="E265" s="211"/>
      <c r="F265" s="211"/>
      <c r="G265" s="211"/>
      <c r="H265" s="211"/>
      <c r="I265" s="211"/>
    </row>
    <row r="266" spans="1:9" ht="15.75" thickBot="1" x14ac:dyDescent="0.3">
      <c r="A266" s="211"/>
      <c r="B266" s="211"/>
      <c r="C266" s="211"/>
      <c r="D266" s="211"/>
      <c r="E266" s="211"/>
      <c r="F266" s="211"/>
      <c r="G266" s="211"/>
      <c r="H266" s="211"/>
      <c r="I266" s="211"/>
    </row>
    <row r="267" spans="1:9" ht="15.75" thickBot="1" x14ac:dyDescent="0.3">
      <c r="A267" s="211"/>
      <c r="B267" s="211"/>
      <c r="C267" s="211"/>
      <c r="D267" s="211"/>
      <c r="E267" s="211"/>
      <c r="F267" s="211"/>
      <c r="G267" s="211"/>
      <c r="H267" s="211"/>
      <c r="I267" s="211"/>
    </row>
    <row r="268" spans="1:9" ht="15.75" thickBot="1" x14ac:dyDescent="0.3">
      <c r="A268" s="211"/>
      <c r="B268" s="211"/>
      <c r="C268" s="211"/>
      <c r="D268" s="211"/>
      <c r="E268" s="211"/>
      <c r="F268" s="211"/>
      <c r="G268" s="211"/>
      <c r="H268" s="211"/>
      <c r="I268" s="211"/>
    </row>
    <row r="269" spans="1:9" ht="15.75" thickBot="1" x14ac:dyDescent="0.3">
      <c r="A269" s="211"/>
      <c r="B269" s="211"/>
      <c r="C269" s="211"/>
      <c r="D269" s="211"/>
      <c r="E269" s="211"/>
      <c r="F269" s="211"/>
      <c r="G269" s="211"/>
      <c r="H269" s="211"/>
      <c r="I269" s="211"/>
    </row>
    <row r="270" spans="1:9" ht="15.75" thickBot="1" x14ac:dyDescent="0.3">
      <c r="A270" s="211"/>
      <c r="B270" s="211"/>
      <c r="C270" s="211"/>
      <c r="D270" s="211"/>
      <c r="E270" s="211"/>
      <c r="F270" s="211"/>
      <c r="G270" s="211"/>
      <c r="H270" s="211"/>
      <c r="I270" s="211"/>
    </row>
    <row r="271" spans="1:9" ht="15.75" thickBot="1" x14ac:dyDescent="0.3">
      <c r="A271" s="211"/>
      <c r="B271" s="211"/>
      <c r="C271" s="211"/>
      <c r="D271" s="211"/>
      <c r="E271" s="211"/>
      <c r="F271" s="211"/>
      <c r="G271" s="211"/>
      <c r="H271" s="211"/>
      <c r="I271" s="211"/>
    </row>
    <row r="272" spans="1:9" ht="15.75" thickBot="1" x14ac:dyDescent="0.3">
      <c r="A272" s="211"/>
      <c r="B272" s="211"/>
      <c r="C272" s="211"/>
      <c r="D272" s="211"/>
      <c r="E272" s="211"/>
      <c r="F272" s="211"/>
      <c r="G272" s="211"/>
      <c r="H272" s="211"/>
      <c r="I272" s="211"/>
    </row>
    <row r="273" spans="1:9" ht="15.75" thickBot="1" x14ac:dyDescent="0.3">
      <c r="A273" s="211"/>
      <c r="B273" s="211"/>
      <c r="C273" s="211"/>
      <c r="D273" s="211"/>
      <c r="E273" s="211"/>
      <c r="F273" s="211"/>
      <c r="G273" s="211"/>
      <c r="H273" s="211"/>
      <c r="I273" s="211"/>
    </row>
    <row r="274" spans="1:9" ht="15.75" thickBot="1" x14ac:dyDescent="0.3">
      <c r="A274" s="211"/>
      <c r="B274" s="211"/>
      <c r="C274" s="211"/>
      <c r="D274" s="211"/>
      <c r="E274" s="211"/>
      <c r="F274" s="211"/>
      <c r="G274" s="211"/>
      <c r="H274" s="211"/>
      <c r="I274" s="211"/>
    </row>
    <row r="275" spans="1:9" ht="15.75" thickBot="1" x14ac:dyDescent="0.3">
      <c r="A275" s="211"/>
      <c r="B275" s="211"/>
      <c r="C275" s="211"/>
      <c r="D275" s="211"/>
      <c r="E275" s="211"/>
      <c r="F275" s="211"/>
      <c r="G275" s="211"/>
      <c r="H275" s="211"/>
      <c r="I275" s="211"/>
    </row>
    <row r="276" spans="1:9" ht="15.75" thickBot="1" x14ac:dyDescent="0.3">
      <c r="A276" s="211"/>
      <c r="B276" s="211"/>
      <c r="C276" s="211"/>
      <c r="D276" s="211"/>
      <c r="E276" s="211"/>
      <c r="F276" s="211"/>
      <c r="G276" s="211"/>
      <c r="H276" s="211"/>
      <c r="I276" s="211"/>
    </row>
    <row r="277" spans="1:9" ht="15.75" thickBot="1" x14ac:dyDescent="0.3">
      <c r="A277" s="211"/>
      <c r="B277" s="211"/>
      <c r="C277" s="211"/>
      <c r="D277" s="211"/>
      <c r="E277" s="211"/>
      <c r="F277" s="211"/>
      <c r="G277" s="211"/>
      <c r="H277" s="211"/>
      <c r="I277" s="211"/>
    </row>
    <row r="278" spans="1:9" ht="15.75" thickBot="1" x14ac:dyDescent="0.3">
      <c r="A278" s="211"/>
      <c r="B278" s="211"/>
      <c r="C278" s="211"/>
      <c r="D278" s="211"/>
      <c r="E278" s="211"/>
      <c r="F278" s="211"/>
      <c r="G278" s="211"/>
      <c r="H278" s="211"/>
      <c r="I278" s="211"/>
    </row>
    <row r="279" spans="1:9" ht="15.75" thickBot="1" x14ac:dyDescent="0.3">
      <c r="A279" s="211"/>
      <c r="B279" s="211"/>
      <c r="C279" s="211"/>
      <c r="D279" s="211"/>
      <c r="E279" s="211"/>
      <c r="F279" s="211"/>
      <c r="G279" s="211"/>
      <c r="H279" s="211"/>
      <c r="I279" s="211"/>
    </row>
    <row r="280" spans="1:9" ht="15.75" thickBot="1" x14ac:dyDescent="0.3">
      <c r="A280" s="211"/>
      <c r="B280" s="211"/>
      <c r="C280" s="211"/>
      <c r="D280" s="211"/>
      <c r="E280" s="211"/>
      <c r="F280" s="211"/>
      <c r="G280" s="211"/>
      <c r="H280" s="211"/>
      <c r="I280" s="211"/>
    </row>
    <row r="281" spans="1:9" ht="15.75" thickBot="1" x14ac:dyDescent="0.3">
      <c r="A281" s="211"/>
      <c r="B281" s="211"/>
      <c r="C281" s="211"/>
      <c r="D281" s="211"/>
      <c r="E281" s="211"/>
      <c r="F281" s="211"/>
      <c r="G281" s="211"/>
      <c r="H281" s="211"/>
      <c r="I281" s="211"/>
    </row>
    <row r="282" spans="1:9" ht="15.75" thickBot="1" x14ac:dyDescent="0.3">
      <c r="A282" s="211"/>
      <c r="B282" s="211"/>
      <c r="C282" s="211"/>
      <c r="D282" s="211"/>
      <c r="E282" s="211"/>
      <c r="F282" s="211"/>
      <c r="G282" s="211"/>
      <c r="H282" s="211"/>
      <c r="I282" s="211"/>
    </row>
    <row r="283" spans="1:9" ht="15.75" thickBot="1" x14ac:dyDescent="0.3">
      <c r="A283" s="211"/>
      <c r="B283" s="211"/>
      <c r="C283" s="211"/>
      <c r="D283" s="211"/>
      <c r="E283" s="211"/>
      <c r="F283" s="211"/>
      <c r="G283" s="211"/>
      <c r="H283" s="211"/>
      <c r="I283" s="211"/>
    </row>
    <row r="284" spans="1:9" ht="15.75" thickBot="1" x14ac:dyDescent="0.3">
      <c r="A284" s="211"/>
      <c r="B284" s="211"/>
      <c r="C284" s="211"/>
      <c r="D284" s="211"/>
      <c r="E284" s="211"/>
      <c r="F284" s="211"/>
      <c r="G284" s="211"/>
      <c r="H284" s="211"/>
      <c r="I284" s="211"/>
    </row>
    <row r="285" spans="1:9" ht="15.75" thickBot="1" x14ac:dyDescent="0.3">
      <c r="A285" s="211"/>
      <c r="B285" s="211"/>
      <c r="C285" s="211"/>
      <c r="D285" s="211"/>
      <c r="E285" s="211"/>
      <c r="F285" s="211"/>
      <c r="G285" s="211"/>
      <c r="H285" s="211"/>
      <c r="I285" s="211"/>
    </row>
    <row r="286" spans="1:9" ht="15.75" thickBot="1" x14ac:dyDescent="0.3">
      <c r="A286" s="211"/>
      <c r="B286" s="211"/>
      <c r="C286" s="211"/>
      <c r="D286" s="211"/>
      <c r="E286" s="211"/>
      <c r="F286" s="211"/>
      <c r="G286" s="211"/>
      <c r="H286" s="211"/>
      <c r="I286" s="211"/>
    </row>
    <row r="287" spans="1:9" ht="15.75" thickBot="1" x14ac:dyDescent="0.3">
      <c r="A287" s="211"/>
      <c r="B287" s="211"/>
      <c r="C287" s="211"/>
      <c r="D287" s="211"/>
      <c r="E287" s="211"/>
      <c r="F287" s="211"/>
      <c r="G287" s="211"/>
      <c r="H287" s="211"/>
      <c r="I287" s="211"/>
    </row>
    <row r="288" spans="1:9" ht="15.75" thickBot="1" x14ac:dyDescent="0.3">
      <c r="A288" s="211"/>
      <c r="B288" s="211"/>
      <c r="C288" s="211"/>
      <c r="D288" s="211"/>
      <c r="E288" s="211"/>
      <c r="F288" s="211"/>
      <c r="G288" s="211"/>
      <c r="H288" s="211"/>
      <c r="I288" s="211"/>
    </row>
    <row r="289" spans="1:9" ht="15.75" thickBot="1" x14ac:dyDescent="0.3">
      <c r="A289" s="211"/>
      <c r="B289" s="211"/>
      <c r="C289" s="211"/>
      <c r="D289" s="211"/>
      <c r="E289" s="211"/>
      <c r="F289" s="211"/>
      <c r="G289" s="211"/>
      <c r="H289" s="211"/>
      <c r="I289" s="211"/>
    </row>
    <row r="290" spans="1:9" ht="15.75" thickBot="1" x14ac:dyDescent="0.3">
      <c r="A290" s="211"/>
      <c r="B290" s="211"/>
      <c r="C290" s="211"/>
      <c r="D290" s="211"/>
      <c r="E290" s="211"/>
      <c r="F290" s="211"/>
      <c r="G290" s="211"/>
      <c r="H290" s="211"/>
      <c r="I290" s="211"/>
    </row>
    <row r="291" spans="1:9" ht="15.75" thickBot="1" x14ac:dyDescent="0.3">
      <c r="A291" s="211"/>
      <c r="B291" s="211"/>
      <c r="C291" s="211"/>
      <c r="D291" s="211"/>
      <c r="E291" s="211"/>
      <c r="F291" s="211"/>
      <c r="G291" s="211"/>
      <c r="H291" s="211"/>
      <c r="I291" s="211"/>
    </row>
    <row r="292" spans="1:9" ht="15.75" thickBot="1" x14ac:dyDescent="0.3">
      <c r="A292" s="211"/>
      <c r="B292" s="211"/>
      <c r="C292" s="211"/>
      <c r="D292" s="211"/>
      <c r="E292" s="211"/>
      <c r="F292" s="211"/>
      <c r="G292" s="211"/>
      <c r="H292" s="211"/>
      <c r="I292" s="211"/>
    </row>
    <row r="293" spans="1:9" ht="15.75" thickBot="1" x14ac:dyDescent="0.3">
      <c r="A293" s="211"/>
      <c r="B293" s="211"/>
      <c r="C293" s="211"/>
      <c r="D293" s="211"/>
      <c r="E293" s="211"/>
      <c r="F293" s="211"/>
      <c r="G293" s="211"/>
      <c r="H293" s="211"/>
      <c r="I293" s="211"/>
    </row>
    <row r="294" spans="1:9" ht="15.75" thickBot="1" x14ac:dyDescent="0.3">
      <c r="A294" s="211"/>
      <c r="B294" s="211"/>
      <c r="C294" s="211"/>
      <c r="D294" s="211"/>
      <c r="E294" s="211"/>
      <c r="F294" s="211"/>
      <c r="G294" s="211"/>
      <c r="H294" s="211"/>
      <c r="I294" s="211"/>
    </row>
    <row r="295" spans="1:9" ht="15.75" thickBot="1" x14ac:dyDescent="0.3">
      <c r="A295" s="211"/>
      <c r="B295" s="211"/>
      <c r="C295" s="211"/>
      <c r="D295" s="211"/>
      <c r="E295" s="211"/>
      <c r="F295" s="211"/>
      <c r="G295" s="211"/>
      <c r="H295" s="211"/>
      <c r="I295" s="211"/>
    </row>
    <row r="296" spans="1:9" ht="15.75" thickBot="1" x14ac:dyDescent="0.3">
      <c r="A296" s="211"/>
      <c r="B296" s="211"/>
      <c r="C296" s="211"/>
      <c r="D296" s="211"/>
      <c r="E296" s="211"/>
      <c r="F296" s="211"/>
      <c r="G296" s="211"/>
      <c r="H296" s="211"/>
      <c r="I296" s="211"/>
    </row>
    <row r="297" spans="1:9" ht="15.75" thickBot="1" x14ac:dyDescent="0.3">
      <c r="A297" s="211"/>
      <c r="B297" s="211"/>
      <c r="C297" s="211"/>
      <c r="D297" s="211"/>
      <c r="E297" s="211"/>
      <c r="F297" s="211"/>
      <c r="G297" s="211"/>
      <c r="H297" s="211"/>
      <c r="I297" s="211"/>
    </row>
    <row r="298" spans="1:9" ht="15.75" thickBot="1" x14ac:dyDescent="0.3">
      <c r="A298" s="211"/>
      <c r="B298" s="211"/>
      <c r="C298" s="211"/>
      <c r="D298" s="211"/>
      <c r="E298" s="211"/>
      <c r="F298" s="211"/>
      <c r="G298" s="211"/>
      <c r="H298" s="211"/>
      <c r="I298" s="211"/>
    </row>
    <row r="299" spans="1:9" ht="15.75" thickBot="1" x14ac:dyDescent="0.3">
      <c r="A299" s="211"/>
      <c r="B299" s="211"/>
      <c r="C299" s="211"/>
      <c r="D299" s="211"/>
      <c r="E299" s="211"/>
      <c r="F299" s="211"/>
      <c r="G299" s="211"/>
      <c r="H299" s="211"/>
      <c r="I299" s="211"/>
    </row>
    <row r="300" spans="1:9" ht="15.75" thickBot="1" x14ac:dyDescent="0.3">
      <c r="A300" s="211"/>
      <c r="B300" s="211"/>
      <c r="C300" s="211"/>
      <c r="D300" s="211"/>
      <c r="E300" s="211"/>
      <c r="F300" s="211"/>
      <c r="G300" s="211"/>
      <c r="H300" s="211"/>
      <c r="I300" s="211"/>
    </row>
    <row r="301" spans="1:9" ht="15.75" thickBot="1" x14ac:dyDescent="0.3">
      <c r="A301" s="211"/>
      <c r="B301" s="211"/>
      <c r="C301" s="211"/>
      <c r="D301" s="211"/>
      <c r="E301" s="211"/>
      <c r="F301" s="211"/>
      <c r="G301" s="211"/>
      <c r="H301" s="211"/>
      <c r="I301" s="211"/>
    </row>
    <row r="302" spans="1:9" ht="15.75" thickBot="1" x14ac:dyDescent="0.3">
      <c r="A302" s="211"/>
      <c r="B302" s="211"/>
      <c r="C302" s="211"/>
      <c r="D302" s="211"/>
      <c r="E302" s="211"/>
      <c r="F302" s="211"/>
      <c r="G302" s="211"/>
      <c r="H302" s="211"/>
      <c r="I302" s="211"/>
    </row>
    <row r="303" spans="1:9" ht="15.75" thickBot="1" x14ac:dyDescent="0.3">
      <c r="A303" s="211"/>
      <c r="B303" s="211"/>
      <c r="C303" s="211"/>
      <c r="D303" s="211"/>
      <c r="E303" s="211"/>
      <c r="F303" s="211"/>
      <c r="G303" s="211"/>
      <c r="H303" s="211"/>
      <c r="I303" s="211"/>
    </row>
    <row r="304" spans="1:9" ht="15.75" thickBot="1" x14ac:dyDescent="0.3">
      <c r="A304" s="211"/>
      <c r="B304" s="211"/>
      <c r="C304" s="211"/>
      <c r="D304" s="211"/>
      <c r="E304" s="211"/>
      <c r="F304" s="211"/>
      <c r="G304" s="211"/>
      <c r="H304" s="211"/>
      <c r="I304" s="211"/>
    </row>
    <row r="305" spans="1:9" ht="15.75" thickBot="1" x14ac:dyDescent="0.3">
      <c r="A305" s="211"/>
      <c r="B305" s="211"/>
      <c r="C305" s="211"/>
      <c r="D305" s="211"/>
      <c r="E305" s="211"/>
      <c r="F305" s="211"/>
      <c r="G305" s="211"/>
      <c r="H305" s="211"/>
      <c r="I305" s="211"/>
    </row>
    <row r="306" spans="1:9" ht="15.75" thickBot="1" x14ac:dyDescent="0.3">
      <c r="A306" s="211"/>
      <c r="B306" s="211"/>
      <c r="C306" s="211"/>
      <c r="D306" s="211"/>
      <c r="E306" s="211"/>
      <c r="F306" s="211"/>
      <c r="G306" s="211"/>
      <c r="H306" s="211"/>
      <c r="I306" s="211"/>
    </row>
    <row r="307" spans="1:9" ht="15.75" thickBot="1" x14ac:dyDescent="0.3">
      <c r="A307" s="211"/>
      <c r="B307" s="211"/>
      <c r="C307" s="211"/>
      <c r="D307" s="211"/>
      <c r="E307" s="211"/>
      <c r="F307" s="211"/>
      <c r="G307" s="211"/>
      <c r="H307" s="211"/>
      <c r="I307" s="211"/>
    </row>
    <row r="308" spans="1:9" ht="15.75" thickBot="1" x14ac:dyDescent="0.3">
      <c r="A308" s="211"/>
      <c r="B308" s="211"/>
      <c r="C308" s="211"/>
      <c r="D308" s="211"/>
      <c r="E308" s="211"/>
      <c r="F308" s="211"/>
      <c r="G308" s="211"/>
      <c r="H308" s="211"/>
      <c r="I308" s="211"/>
    </row>
    <row r="309" spans="1:9" ht="15.75" thickBot="1" x14ac:dyDescent="0.3">
      <c r="A309" s="211"/>
      <c r="B309" s="211"/>
      <c r="C309" s="211"/>
      <c r="D309" s="211"/>
      <c r="E309" s="211"/>
      <c r="F309" s="211"/>
      <c r="G309" s="211"/>
      <c r="H309" s="211"/>
      <c r="I309" s="211"/>
    </row>
    <row r="310" spans="1:9" ht="15.75" thickBot="1" x14ac:dyDescent="0.3">
      <c r="A310" s="211"/>
      <c r="B310" s="211"/>
      <c r="C310" s="211"/>
      <c r="D310" s="211"/>
      <c r="E310" s="211"/>
      <c r="F310" s="211"/>
      <c r="G310" s="211"/>
      <c r="H310" s="211"/>
      <c r="I310" s="211"/>
    </row>
    <row r="311" spans="1:9" ht="15.75" thickBot="1" x14ac:dyDescent="0.3">
      <c r="A311" s="211"/>
      <c r="B311" s="211"/>
      <c r="C311" s="211"/>
      <c r="D311" s="211"/>
      <c r="E311" s="211"/>
      <c r="F311" s="211"/>
      <c r="G311" s="211"/>
      <c r="H311" s="211"/>
      <c r="I311" s="211"/>
    </row>
    <row r="312" spans="1:9" ht="15.75" thickBot="1" x14ac:dyDescent="0.3">
      <c r="A312" s="211"/>
      <c r="B312" s="211"/>
      <c r="C312" s="211"/>
      <c r="D312" s="211"/>
      <c r="E312" s="211"/>
      <c r="F312" s="211"/>
      <c r="G312" s="211"/>
      <c r="H312" s="211"/>
      <c r="I312" s="211"/>
    </row>
    <row r="313" spans="1:9" ht="15.75" thickBot="1" x14ac:dyDescent="0.3">
      <c r="A313" s="211"/>
      <c r="B313" s="211"/>
      <c r="C313" s="211"/>
      <c r="D313" s="211"/>
      <c r="E313" s="211"/>
      <c r="F313" s="211"/>
      <c r="G313" s="211"/>
      <c r="H313" s="211"/>
      <c r="I313" s="211"/>
    </row>
    <row r="314" spans="1:9" ht="15.75" thickBot="1" x14ac:dyDescent="0.3">
      <c r="A314" s="211"/>
      <c r="B314" s="211"/>
      <c r="C314" s="211"/>
      <c r="D314" s="211"/>
      <c r="E314" s="211"/>
      <c r="F314" s="211"/>
      <c r="G314" s="211"/>
      <c r="H314" s="211"/>
      <c r="I314" s="211"/>
    </row>
    <row r="315" spans="1:9" ht="15.75" thickBot="1" x14ac:dyDescent="0.3">
      <c r="A315" s="211"/>
      <c r="B315" s="211"/>
      <c r="C315" s="211"/>
      <c r="D315" s="211"/>
      <c r="E315" s="211"/>
      <c r="F315" s="211"/>
      <c r="G315" s="211"/>
      <c r="H315" s="211"/>
      <c r="I315" s="211"/>
    </row>
    <row r="316" spans="1:9" ht="15.75" thickBot="1" x14ac:dyDescent="0.3">
      <c r="A316" s="211"/>
      <c r="B316" s="211"/>
      <c r="C316" s="211"/>
      <c r="D316" s="211"/>
      <c r="E316" s="211"/>
      <c r="F316" s="211"/>
      <c r="G316" s="211"/>
      <c r="H316" s="211"/>
      <c r="I316" s="211"/>
    </row>
    <row r="317" spans="1:9" ht="15.75" thickBot="1" x14ac:dyDescent="0.3">
      <c r="A317" s="211"/>
      <c r="B317" s="211"/>
      <c r="C317" s="211"/>
      <c r="D317" s="211"/>
      <c r="E317" s="211"/>
      <c r="F317" s="211"/>
      <c r="G317" s="211"/>
      <c r="H317" s="211"/>
      <c r="I317" s="211"/>
    </row>
    <row r="318" spans="1:9" ht="15.75" thickBot="1" x14ac:dyDescent="0.3">
      <c r="A318" s="211"/>
      <c r="B318" s="211"/>
      <c r="C318" s="211"/>
      <c r="D318" s="211"/>
      <c r="E318" s="211"/>
      <c r="F318" s="211"/>
      <c r="G318" s="211"/>
      <c r="H318" s="211"/>
      <c r="I318" s="211"/>
    </row>
    <row r="319" spans="1:9" ht="15.75" thickBot="1" x14ac:dyDescent="0.3">
      <c r="A319" s="211"/>
      <c r="B319" s="211"/>
      <c r="C319" s="211"/>
      <c r="D319" s="211"/>
      <c r="E319" s="211"/>
      <c r="F319" s="211"/>
      <c r="G319" s="211"/>
      <c r="H319" s="211"/>
      <c r="I319" s="211"/>
    </row>
    <row r="320" spans="1:9" ht="15.75" thickBot="1" x14ac:dyDescent="0.3">
      <c r="A320" s="211"/>
      <c r="B320" s="211"/>
      <c r="C320" s="211"/>
      <c r="D320" s="211"/>
      <c r="E320" s="211"/>
      <c r="F320" s="211"/>
      <c r="G320" s="211"/>
      <c r="H320" s="211"/>
      <c r="I320" s="211"/>
    </row>
    <row r="321" spans="1:9" ht="15.75" thickBot="1" x14ac:dyDescent="0.3">
      <c r="A321" s="211"/>
      <c r="B321" s="211"/>
      <c r="C321" s="211"/>
      <c r="D321" s="211"/>
      <c r="E321" s="211"/>
      <c r="F321" s="211"/>
      <c r="G321" s="211"/>
      <c r="H321" s="211"/>
      <c r="I321" s="211"/>
    </row>
    <row r="322" spans="1:9" ht="15.75" thickBot="1" x14ac:dyDescent="0.3">
      <c r="A322" s="211"/>
      <c r="B322" s="211"/>
      <c r="C322" s="211"/>
      <c r="D322" s="211"/>
      <c r="E322" s="211"/>
      <c r="F322" s="211"/>
      <c r="G322" s="211"/>
      <c r="H322" s="211"/>
      <c r="I322" s="211"/>
    </row>
    <row r="323" spans="1:9" ht="15.75" thickBot="1" x14ac:dyDescent="0.3">
      <c r="A323" s="211"/>
      <c r="B323" s="211"/>
      <c r="C323" s="211"/>
      <c r="D323" s="211"/>
      <c r="E323" s="211"/>
      <c r="F323" s="211"/>
      <c r="G323" s="211"/>
      <c r="H323" s="211"/>
      <c r="I323" s="211"/>
    </row>
    <row r="324" spans="1:9" ht="15.75" thickBot="1" x14ac:dyDescent="0.3">
      <c r="A324" s="211"/>
      <c r="B324" s="211"/>
      <c r="C324" s="211"/>
      <c r="D324" s="211"/>
      <c r="E324" s="211"/>
      <c r="F324" s="211"/>
      <c r="G324" s="211"/>
      <c r="H324" s="211"/>
      <c r="I324" s="211"/>
    </row>
    <row r="325" spans="1:9" ht="15.75" thickBot="1" x14ac:dyDescent="0.3">
      <c r="A325" s="211"/>
      <c r="B325" s="211"/>
      <c r="C325" s="211"/>
      <c r="D325" s="211"/>
      <c r="E325" s="211"/>
      <c r="F325" s="211"/>
      <c r="G325" s="211"/>
      <c r="H325" s="211"/>
      <c r="I325" s="211"/>
    </row>
    <row r="326" spans="1:9" ht="15.75" thickBot="1" x14ac:dyDescent="0.3">
      <c r="A326" s="211"/>
      <c r="B326" s="211"/>
      <c r="C326" s="211"/>
      <c r="D326" s="211"/>
      <c r="E326" s="211"/>
      <c r="F326" s="211"/>
      <c r="G326" s="211"/>
      <c r="H326" s="211"/>
      <c r="I326" s="211"/>
    </row>
    <row r="327" spans="1:9" ht="15.75" thickBot="1" x14ac:dyDescent="0.3">
      <c r="A327" s="211"/>
      <c r="B327" s="211"/>
      <c r="C327" s="211"/>
      <c r="D327" s="211"/>
      <c r="E327" s="211"/>
      <c r="F327" s="211"/>
      <c r="G327" s="211"/>
      <c r="H327" s="211"/>
      <c r="I327" s="211"/>
    </row>
    <row r="328" spans="1:9" ht="15.75" thickBot="1" x14ac:dyDescent="0.3">
      <c r="A328" s="211"/>
      <c r="B328" s="211"/>
      <c r="C328" s="211"/>
      <c r="D328" s="211"/>
      <c r="E328" s="211"/>
      <c r="F328" s="211"/>
      <c r="G328" s="211"/>
      <c r="H328" s="211"/>
      <c r="I328" s="211"/>
    </row>
    <row r="329" spans="1:9" ht="15.75" thickBot="1" x14ac:dyDescent="0.3">
      <c r="A329" s="211"/>
      <c r="B329" s="211"/>
      <c r="C329" s="211"/>
      <c r="D329" s="211"/>
      <c r="E329" s="211"/>
      <c r="F329" s="211"/>
      <c r="G329" s="211"/>
      <c r="H329" s="211"/>
      <c r="I329" s="211"/>
    </row>
    <row r="330" spans="1:9" ht="15.75" thickBot="1" x14ac:dyDescent="0.3">
      <c r="A330" s="211"/>
      <c r="B330" s="211"/>
      <c r="C330" s="211"/>
      <c r="D330" s="211"/>
      <c r="E330" s="211"/>
      <c r="F330" s="211"/>
      <c r="G330" s="211"/>
      <c r="H330" s="211"/>
      <c r="I330" s="211"/>
    </row>
    <row r="331" spans="1:9" ht="15.75" thickBot="1" x14ac:dyDescent="0.3">
      <c r="A331" s="211"/>
      <c r="B331" s="211"/>
      <c r="C331" s="211"/>
      <c r="D331" s="211"/>
      <c r="E331" s="211"/>
      <c r="F331" s="211"/>
      <c r="G331" s="211"/>
      <c r="H331" s="211"/>
      <c r="I331" s="211"/>
    </row>
    <row r="332" spans="1:9" ht="15.75" thickBot="1" x14ac:dyDescent="0.3">
      <c r="A332" s="211"/>
      <c r="B332" s="211"/>
      <c r="C332" s="211"/>
      <c r="D332" s="211"/>
      <c r="E332" s="211"/>
      <c r="F332" s="211"/>
      <c r="G332" s="211"/>
      <c r="H332" s="211"/>
      <c r="I332" s="211"/>
    </row>
    <row r="333" spans="1:9" ht="15.75" thickBot="1" x14ac:dyDescent="0.3">
      <c r="A333" s="211"/>
      <c r="B333" s="211"/>
      <c r="C333" s="211"/>
      <c r="D333" s="211"/>
      <c r="E333" s="211"/>
      <c r="F333" s="211"/>
      <c r="G333" s="211"/>
      <c r="H333" s="211"/>
      <c r="I333" s="211"/>
    </row>
    <row r="334" spans="1:9" ht="15.75" thickBot="1" x14ac:dyDescent="0.3">
      <c r="A334" s="211"/>
      <c r="B334" s="211"/>
      <c r="C334" s="211"/>
      <c r="D334" s="211"/>
      <c r="E334" s="211"/>
      <c r="F334" s="211"/>
      <c r="G334" s="211"/>
      <c r="H334" s="211"/>
      <c r="I334" s="211"/>
    </row>
    <row r="335" spans="1:9" ht="15.75" thickBot="1" x14ac:dyDescent="0.3">
      <c r="A335" s="211"/>
      <c r="B335" s="211"/>
      <c r="C335" s="211"/>
      <c r="D335" s="211"/>
      <c r="E335" s="211"/>
      <c r="F335" s="211"/>
      <c r="G335" s="211"/>
      <c r="H335" s="211"/>
      <c r="I335" s="211"/>
    </row>
    <row r="336" spans="1:9" ht="15.75" thickBot="1" x14ac:dyDescent="0.3">
      <c r="A336" s="211"/>
      <c r="B336" s="211"/>
      <c r="C336" s="211"/>
      <c r="D336" s="211"/>
      <c r="E336" s="211"/>
      <c r="F336" s="211"/>
      <c r="G336" s="211"/>
      <c r="H336" s="211"/>
      <c r="I336" s="211"/>
    </row>
    <row r="337" spans="1:9" ht="15.75" thickBot="1" x14ac:dyDescent="0.3">
      <c r="A337" s="211"/>
      <c r="B337" s="211"/>
      <c r="C337" s="211"/>
      <c r="D337" s="211"/>
      <c r="E337" s="211"/>
      <c r="F337" s="211"/>
      <c r="G337" s="211"/>
      <c r="H337" s="211"/>
      <c r="I337" s="211"/>
    </row>
    <row r="338" spans="1:9" ht="15.75" thickBot="1" x14ac:dyDescent="0.3">
      <c r="A338" s="211"/>
      <c r="B338" s="211"/>
      <c r="C338" s="211"/>
      <c r="D338" s="211"/>
      <c r="E338" s="211"/>
      <c r="F338" s="211"/>
      <c r="G338" s="211"/>
      <c r="H338" s="211"/>
      <c r="I338" s="211"/>
    </row>
    <row r="339" spans="1:9" ht="15.75" thickBot="1" x14ac:dyDescent="0.3">
      <c r="A339" s="211"/>
      <c r="B339" s="211"/>
      <c r="C339" s="211"/>
      <c r="D339" s="211"/>
      <c r="E339" s="211"/>
      <c r="F339" s="211"/>
      <c r="G339" s="211"/>
      <c r="H339" s="211"/>
      <c r="I339" s="211"/>
    </row>
    <row r="340" spans="1:9" ht="15.75" thickBot="1" x14ac:dyDescent="0.3">
      <c r="A340" s="211"/>
      <c r="B340" s="211"/>
      <c r="C340" s="211"/>
      <c r="D340" s="211"/>
      <c r="E340" s="211"/>
      <c r="F340" s="211"/>
      <c r="G340" s="211"/>
      <c r="H340" s="211"/>
      <c r="I340" s="211"/>
    </row>
    <row r="341" spans="1:9" ht="15.75" thickBot="1" x14ac:dyDescent="0.3">
      <c r="A341" s="211"/>
      <c r="B341" s="211"/>
      <c r="C341" s="211"/>
      <c r="D341" s="211"/>
      <c r="E341" s="211"/>
      <c r="F341" s="211"/>
      <c r="G341" s="211"/>
      <c r="H341" s="211"/>
      <c r="I341" s="211"/>
    </row>
    <row r="342" spans="1:9" ht="15.75" thickBot="1" x14ac:dyDescent="0.3">
      <c r="A342" s="211"/>
      <c r="B342" s="211"/>
      <c r="C342" s="211"/>
      <c r="D342" s="211"/>
      <c r="E342" s="211"/>
      <c r="F342" s="211"/>
      <c r="G342" s="211"/>
      <c r="H342" s="211"/>
      <c r="I342" s="211"/>
    </row>
    <row r="343" spans="1:9" ht="15.75" thickBot="1" x14ac:dyDescent="0.3">
      <c r="A343" s="211"/>
      <c r="B343" s="211"/>
      <c r="C343" s="211"/>
      <c r="D343" s="211"/>
      <c r="E343" s="211"/>
      <c r="F343" s="211"/>
      <c r="G343" s="211"/>
      <c r="H343" s="211"/>
      <c r="I343" s="211"/>
    </row>
    <row r="344" spans="1:9" ht="15.75" thickBot="1" x14ac:dyDescent="0.3">
      <c r="A344" s="211"/>
      <c r="B344" s="211"/>
      <c r="C344" s="211"/>
      <c r="D344" s="211"/>
      <c r="E344" s="211"/>
      <c r="F344" s="211"/>
      <c r="G344" s="211"/>
      <c r="H344" s="211"/>
      <c r="I344" s="211"/>
    </row>
    <row r="345" spans="1:9" ht="15.75" thickBot="1" x14ac:dyDescent="0.3">
      <c r="A345" s="211"/>
      <c r="B345" s="211"/>
      <c r="C345" s="211"/>
      <c r="D345" s="211"/>
      <c r="E345" s="211"/>
      <c r="F345" s="211"/>
      <c r="G345" s="211"/>
      <c r="H345" s="211"/>
      <c r="I345" s="211"/>
    </row>
    <row r="346" spans="1:9" ht="15.75" thickBot="1" x14ac:dyDescent="0.3">
      <c r="A346" s="211"/>
      <c r="B346" s="211"/>
      <c r="C346" s="211"/>
      <c r="D346" s="211"/>
      <c r="E346" s="211"/>
      <c r="F346" s="211"/>
      <c r="G346" s="211"/>
      <c r="H346" s="211"/>
      <c r="I346" s="211"/>
    </row>
    <row r="347" spans="1:9" ht="15.75" thickBot="1" x14ac:dyDescent="0.3">
      <c r="A347" s="211"/>
      <c r="B347" s="211"/>
      <c r="C347" s="211"/>
      <c r="D347" s="211"/>
      <c r="E347" s="211"/>
      <c r="F347" s="211"/>
      <c r="G347" s="211"/>
      <c r="H347" s="211"/>
      <c r="I347" s="211"/>
    </row>
    <row r="348" spans="1:9" ht="15.75" thickBot="1" x14ac:dyDescent="0.3">
      <c r="A348" s="211"/>
      <c r="B348" s="211"/>
      <c r="C348" s="211"/>
      <c r="D348" s="211"/>
      <c r="E348" s="211"/>
      <c r="F348" s="211"/>
      <c r="G348" s="211"/>
      <c r="H348" s="211"/>
      <c r="I348" s="211"/>
    </row>
    <row r="349" spans="1:9" ht="15.75" thickBot="1" x14ac:dyDescent="0.3">
      <c r="A349" s="211"/>
      <c r="B349" s="211"/>
      <c r="C349" s="211"/>
      <c r="D349" s="211"/>
      <c r="E349" s="211"/>
      <c r="F349" s="211"/>
      <c r="G349" s="211"/>
      <c r="H349" s="211"/>
      <c r="I349" s="211"/>
    </row>
    <row r="350" spans="1:9" ht="15.75" thickBot="1" x14ac:dyDescent="0.3">
      <c r="A350" s="211"/>
      <c r="B350" s="211"/>
      <c r="C350" s="211"/>
      <c r="D350" s="211"/>
      <c r="E350" s="211"/>
      <c r="F350" s="211"/>
      <c r="G350" s="211"/>
      <c r="H350" s="211"/>
      <c r="I350" s="211"/>
    </row>
    <row r="351" spans="1:9" ht="15.75" thickBot="1" x14ac:dyDescent="0.3">
      <c r="A351" s="211"/>
      <c r="B351" s="211"/>
      <c r="C351" s="211"/>
      <c r="D351" s="211"/>
      <c r="E351" s="211"/>
      <c r="F351" s="211"/>
      <c r="G351" s="211"/>
      <c r="H351" s="211"/>
      <c r="I351" s="211"/>
    </row>
    <row r="352" spans="1:9" ht="15.75" thickBot="1" x14ac:dyDescent="0.3">
      <c r="A352" s="211"/>
      <c r="B352" s="211"/>
      <c r="C352" s="211"/>
      <c r="D352" s="211"/>
      <c r="E352" s="211"/>
      <c r="F352" s="211"/>
      <c r="G352" s="211"/>
      <c r="H352" s="211"/>
      <c r="I352" s="211"/>
    </row>
    <row r="353" spans="1:9" ht="15.75" thickBot="1" x14ac:dyDescent="0.3">
      <c r="A353" s="211"/>
      <c r="B353" s="211"/>
      <c r="C353" s="211"/>
      <c r="D353" s="211"/>
      <c r="E353" s="211"/>
      <c r="F353" s="211"/>
      <c r="G353" s="211"/>
      <c r="H353" s="211"/>
      <c r="I353" s="211"/>
    </row>
    <row r="354" spans="1:9" ht="15.75" thickBot="1" x14ac:dyDescent="0.3">
      <c r="A354" s="211"/>
      <c r="B354" s="211"/>
      <c r="C354" s="211"/>
      <c r="D354" s="211"/>
      <c r="E354" s="211"/>
      <c r="F354" s="211"/>
      <c r="G354" s="211"/>
      <c r="H354" s="211"/>
      <c r="I354" s="211"/>
    </row>
    <row r="355" spans="1:9" ht="15.75" thickBot="1" x14ac:dyDescent="0.3">
      <c r="A355" s="211"/>
      <c r="B355" s="211"/>
      <c r="C355" s="211"/>
      <c r="D355" s="211"/>
      <c r="E355" s="211"/>
      <c r="F355" s="211"/>
      <c r="G355" s="211"/>
      <c r="H355" s="211"/>
      <c r="I355" s="211"/>
    </row>
    <row r="356" spans="1:9" ht="15.75" thickBot="1" x14ac:dyDescent="0.3">
      <c r="A356" s="211"/>
      <c r="B356" s="211"/>
      <c r="C356" s="211"/>
      <c r="D356" s="211"/>
      <c r="E356" s="211"/>
      <c r="F356" s="211"/>
      <c r="G356" s="211"/>
      <c r="H356" s="211"/>
      <c r="I356" s="211"/>
    </row>
    <row r="357" spans="1:9" ht="15.75" thickBot="1" x14ac:dyDescent="0.3">
      <c r="A357" s="211"/>
      <c r="B357" s="211"/>
      <c r="C357" s="211"/>
      <c r="D357" s="211"/>
      <c r="E357" s="211"/>
      <c r="F357" s="211"/>
      <c r="G357" s="211"/>
      <c r="H357" s="211"/>
      <c r="I357" s="211"/>
    </row>
    <row r="358" spans="1:9" ht="15.75" thickBot="1" x14ac:dyDescent="0.3">
      <c r="A358" s="211"/>
      <c r="B358" s="211"/>
      <c r="C358" s="211"/>
      <c r="D358" s="211"/>
      <c r="E358" s="211"/>
      <c r="F358" s="211"/>
      <c r="G358" s="211"/>
      <c r="H358" s="211"/>
      <c r="I358" s="211"/>
    </row>
    <row r="359" spans="1:9" ht="15.75" thickBot="1" x14ac:dyDescent="0.3">
      <c r="A359" s="211"/>
      <c r="B359" s="211"/>
      <c r="C359" s="211"/>
      <c r="D359" s="211"/>
      <c r="E359" s="211"/>
      <c r="F359" s="211"/>
      <c r="G359" s="211"/>
      <c r="H359" s="211"/>
      <c r="I359" s="211"/>
    </row>
    <row r="360" spans="1:9" ht="15.75" thickBot="1" x14ac:dyDescent="0.3">
      <c r="A360" s="211"/>
      <c r="B360" s="211"/>
      <c r="C360" s="211"/>
      <c r="D360" s="211"/>
      <c r="E360" s="211"/>
      <c r="F360" s="211"/>
      <c r="G360" s="211"/>
      <c r="H360" s="211"/>
      <c r="I360" s="211"/>
    </row>
    <row r="361" spans="1:9" ht="15.75" thickBot="1" x14ac:dyDescent="0.3">
      <c r="A361" s="211"/>
      <c r="B361" s="211"/>
      <c r="C361" s="211"/>
      <c r="D361" s="211"/>
      <c r="E361" s="211"/>
      <c r="F361" s="211"/>
      <c r="G361" s="211"/>
      <c r="H361" s="211"/>
      <c r="I361" s="211"/>
    </row>
    <row r="362" spans="1:9" ht="15.75" thickBot="1" x14ac:dyDescent="0.3">
      <c r="A362" s="211"/>
      <c r="B362" s="211"/>
      <c r="C362" s="211"/>
      <c r="D362" s="211"/>
      <c r="E362" s="211"/>
      <c r="F362" s="211"/>
      <c r="G362" s="211"/>
      <c r="H362" s="211"/>
      <c r="I362" s="211"/>
    </row>
    <row r="363" spans="1:9" ht="15.75" thickBot="1" x14ac:dyDescent="0.3">
      <c r="A363" s="211"/>
      <c r="B363" s="211"/>
      <c r="C363" s="211"/>
      <c r="D363" s="211"/>
      <c r="E363" s="211"/>
      <c r="F363" s="211"/>
      <c r="G363" s="211"/>
      <c r="H363" s="211"/>
      <c r="I363" s="211"/>
    </row>
    <row r="364" spans="1:9" ht="15.75" thickBot="1" x14ac:dyDescent="0.3">
      <c r="A364" s="211"/>
      <c r="B364" s="211"/>
      <c r="C364" s="211"/>
      <c r="D364" s="211"/>
      <c r="E364" s="211"/>
      <c r="F364" s="211"/>
      <c r="G364" s="211"/>
      <c r="H364" s="211"/>
      <c r="I364" s="211"/>
    </row>
    <row r="365" spans="1:9" ht="15.75" thickBot="1" x14ac:dyDescent="0.3">
      <c r="A365" s="211"/>
      <c r="B365" s="211"/>
      <c r="C365" s="211"/>
      <c r="D365" s="211"/>
      <c r="E365" s="211"/>
      <c r="F365" s="211"/>
      <c r="G365" s="211"/>
      <c r="H365" s="211"/>
      <c r="I365" s="211"/>
    </row>
    <row r="366" spans="1:9" ht="15.75" thickBot="1" x14ac:dyDescent="0.3">
      <c r="A366" s="211"/>
      <c r="B366" s="211"/>
      <c r="C366" s="211"/>
      <c r="D366" s="211"/>
      <c r="E366" s="211"/>
      <c r="F366" s="211"/>
      <c r="G366" s="211"/>
      <c r="H366" s="211"/>
      <c r="I366" s="211"/>
    </row>
    <row r="367" spans="1:9" ht="15.75" thickBot="1" x14ac:dyDescent="0.3">
      <c r="A367" s="211"/>
      <c r="B367" s="211"/>
      <c r="C367" s="211"/>
      <c r="D367" s="211"/>
      <c r="E367" s="211"/>
      <c r="F367" s="211"/>
      <c r="G367" s="211"/>
      <c r="H367" s="211"/>
      <c r="I367" s="211"/>
    </row>
    <row r="368" spans="1:9" ht="15.75" thickBot="1" x14ac:dyDescent="0.3">
      <c r="A368" s="211"/>
      <c r="B368" s="211"/>
      <c r="C368" s="211"/>
      <c r="D368" s="211"/>
      <c r="E368" s="211"/>
      <c r="F368" s="211"/>
      <c r="G368" s="211"/>
      <c r="H368" s="211"/>
      <c r="I368" s="211"/>
    </row>
    <row r="369" spans="1:9" ht="15.75" thickBot="1" x14ac:dyDescent="0.3">
      <c r="A369" s="211"/>
      <c r="B369" s="211"/>
      <c r="C369" s="211"/>
      <c r="D369" s="211"/>
      <c r="E369" s="211"/>
      <c r="F369" s="211"/>
      <c r="G369" s="211"/>
      <c r="H369" s="211"/>
      <c r="I369" s="211"/>
    </row>
    <row r="370" spans="1:9" ht="15.75" thickBot="1" x14ac:dyDescent="0.3">
      <c r="A370" s="211"/>
      <c r="B370" s="211"/>
      <c r="C370" s="211"/>
      <c r="D370" s="211"/>
      <c r="E370" s="211"/>
      <c r="F370" s="211"/>
      <c r="G370" s="211"/>
      <c r="H370" s="211"/>
      <c r="I370" s="211"/>
    </row>
    <row r="371" spans="1:9" ht="15.75" thickBot="1" x14ac:dyDescent="0.3">
      <c r="A371" s="211"/>
      <c r="B371" s="211"/>
      <c r="C371" s="211"/>
      <c r="D371" s="211"/>
      <c r="E371" s="211"/>
      <c r="F371" s="211"/>
      <c r="G371" s="211"/>
      <c r="H371" s="211"/>
      <c r="I371" s="211"/>
    </row>
    <row r="372" spans="1:9" ht="15.75" thickBot="1" x14ac:dyDescent="0.3">
      <c r="A372" s="211"/>
      <c r="B372" s="211"/>
      <c r="C372" s="211"/>
      <c r="D372" s="211"/>
      <c r="E372" s="211"/>
      <c r="F372" s="211"/>
      <c r="G372" s="211"/>
      <c r="H372" s="211"/>
      <c r="I372" s="211"/>
    </row>
    <row r="373" spans="1:9" ht="15.75" thickBot="1" x14ac:dyDescent="0.3">
      <c r="A373" s="211"/>
      <c r="B373" s="211"/>
      <c r="C373" s="211"/>
      <c r="D373" s="211"/>
      <c r="E373" s="211"/>
      <c r="F373" s="211"/>
      <c r="G373" s="211"/>
      <c r="H373" s="211"/>
      <c r="I373" s="211"/>
    </row>
    <row r="374" spans="1:9" ht="15.75" thickBot="1" x14ac:dyDescent="0.3">
      <c r="A374" s="211"/>
      <c r="B374" s="211"/>
      <c r="C374" s="211"/>
      <c r="D374" s="211"/>
      <c r="E374" s="211"/>
      <c r="F374" s="211"/>
      <c r="G374" s="211"/>
      <c r="H374" s="211"/>
      <c r="I374" s="211"/>
    </row>
    <row r="375" spans="1:9" ht="15.75" thickBot="1" x14ac:dyDescent="0.3">
      <c r="A375" s="211"/>
      <c r="B375" s="211"/>
      <c r="C375" s="211"/>
      <c r="D375" s="211"/>
      <c r="E375" s="211"/>
      <c r="F375" s="211"/>
      <c r="G375" s="211"/>
      <c r="H375" s="211"/>
      <c r="I375" s="211"/>
    </row>
    <row r="376" spans="1:9" ht="15.75" thickBot="1" x14ac:dyDescent="0.3">
      <c r="A376" s="211"/>
      <c r="B376" s="211"/>
      <c r="C376" s="211"/>
      <c r="D376" s="211"/>
      <c r="E376" s="211"/>
      <c r="F376" s="211"/>
      <c r="G376" s="211"/>
      <c r="H376" s="211"/>
      <c r="I376" s="211"/>
    </row>
    <row r="377" spans="1:9" ht="15.75" thickBot="1" x14ac:dyDescent="0.3">
      <c r="A377" s="211"/>
      <c r="B377" s="211"/>
      <c r="C377" s="211"/>
      <c r="D377" s="211"/>
      <c r="E377" s="211"/>
      <c r="F377" s="211"/>
      <c r="G377" s="211"/>
      <c r="H377" s="211"/>
      <c r="I377" s="211"/>
    </row>
    <row r="378" spans="1:9" ht="15.75" thickBot="1" x14ac:dyDescent="0.3">
      <c r="A378" s="211"/>
      <c r="B378" s="211"/>
      <c r="C378" s="211"/>
      <c r="D378" s="211"/>
      <c r="E378" s="211"/>
      <c r="F378" s="211"/>
      <c r="G378" s="211"/>
      <c r="H378" s="211"/>
      <c r="I378" s="211"/>
    </row>
    <row r="379" spans="1:9" ht="15.75" thickBot="1" x14ac:dyDescent="0.3">
      <c r="A379" s="211"/>
      <c r="B379" s="211"/>
      <c r="C379" s="211"/>
      <c r="D379" s="211"/>
      <c r="E379" s="211"/>
      <c r="F379" s="211"/>
      <c r="G379" s="211"/>
      <c r="H379" s="211"/>
      <c r="I379" s="211"/>
    </row>
    <row r="380" spans="1:9" ht="15.75" thickBot="1" x14ac:dyDescent="0.3">
      <c r="A380" s="211"/>
      <c r="B380" s="211"/>
      <c r="C380" s="211"/>
      <c r="D380" s="211"/>
      <c r="E380" s="211"/>
      <c r="F380" s="211"/>
      <c r="G380" s="211"/>
      <c r="H380" s="211"/>
      <c r="I380" s="211"/>
    </row>
    <row r="381" spans="1:9" ht="15.75" thickBot="1" x14ac:dyDescent="0.3">
      <c r="A381" s="211"/>
      <c r="B381" s="211"/>
      <c r="C381" s="211"/>
      <c r="D381" s="211"/>
      <c r="E381" s="211"/>
      <c r="F381" s="211"/>
      <c r="G381" s="211"/>
      <c r="H381" s="211"/>
      <c r="I381" s="211"/>
    </row>
    <row r="382" spans="1:9" ht="15.75" thickBot="1" x14ac:dyDescent="0.3">
      <c r="A382" s="211"/>
      <c r="B382" s="211"/>
      <c r="C382" s="211"/>
      <c r="D382" s="211"/>
      <c r="E382" s="211"/>
      <c r="F382" s="211"/>
      <c r="G382" s="211"/>
      <c r="H382" s="211"/>
      <c r="I382" s="211"/>
    </row>
    <row r="383" spans="1:9" ht="15.75" thickBot="1" x14ac:dyDescent="0.3">
      <c r="A383" s="211"/>
      <c r="B383" s="211"/>
      <c r="C383" s="211"/>
      <c r="D383" s="211"/>
      <c r="E383" s="211"/>
      <c r="F383" s="211"/>
      <c r="G383" s="211"/>
      <c r="H383" s="211"/>
      <c r="I383" s="211"/>
    </row>
    <row r="384" spans="1:9" ht="15.75" thickBot="1" x14ac:dyDescent="0.3">
      <c r="A384" s="211"/>
      <c r="B384" s="211"/>
      <c r="C384" s="211"/>
      <c r="D384" s="211"/>
      <c r="E384" s="211"/>
      <c r="F384" s="211"/>
      <c r="G384" s="211"/>
      <c r="H384" s="211"/>
      <c r="I384" s="211"/>
    </row>
    <row r="385" spans="1:9" ht="15.75" thickBot="1" x14ac:dyDescent="0.3">
      <c r="A385" s="211"/>
      <c r="B385" s="211"/>
      <c r="C385" s="211"/>
      <c r="D385" s="211"/>
      <c r="E385" s="211"/>
      <c r="F385" s="211"/>
      <c r="G385" s="211"/>
      <c r="H385" s="211"/>
      <c r="I385" s="211"/>
    </row>
    <row r="386" spans="1:9" ht="15.75" thickBot="1" x14ac:dyDescent="0.3">
      <c r="A386" s="211"/>
      <c r="B386" s="211"/>
      <c r="C386" s="211"/>
      <c r="D386" s="211"/>
      <c r="E386" s="211"/>
      <c r="F386" s="211"/>
      <c r="G386" s="211"/>
      <c r="H386" s="211"/>
      <c r="I386" s="211"/>
    </row>
    <row r="387" spans="1:9" ht="15.75" thickBot="1" x14ac:dyDescent="0.3">
      <c r="A387" s="211"/>
      <c r="B387" s="211"/>
      <c r="C387" s="211"/>
      <c r="D387" s="211"/>
      <c r="E387" s="211"/>
      <c r="F387" s="211"/>
      <c r="G387" s="211"/>
      <c r="H387" s="211"/>
      <c r="I387" s="211"/>
    </row>
    <row r="388" spans="1:9" ht="15.75" thickBot="1" x14ac:dyDescent="0.3">
      <c r="A388" s="211"/>
      <c r="B388" s="211"/>
      <c r="C388" s="211"/>
      <c r="D388" s="211"/>
      <c r="E388" s="211"/>
      <c r="F388" s="211"/>
      <c r="G388" s="211"/>
      <c r="H388" s="211"/>
      <c r="I388" s="211"/>
    </row>
    <row r="389" spans="1:9" ht="15.75" thickBot="1" x14ac:dyDescent="0.3">
      <c r="A389" s="211"/>
      <c r="B389" s="211"/>
      <c r="C389" s="211"/>
      <c r="D389" s="211"/>
      <c r="E389" s="211"/>
      <c r="F389" s="211"/>
      <c r="G389" s="211"/>
      <c r="H389" s="211"/>
      <c r="I389" s="211"/>
    </row>
    <row r="390" spans="1:9" ht="15.75" thickBot="1" x14ac:dyDescent="0.3">
      <c r="A390" s="211"/>
      <c r="B390" s="211"/>
      <c r="C390" s="211"/>
      <c r="D390" s="211"/>
      <c r="E390" s="211"/>
      <c r="F390" s="211"/>
      <c r="G390" s="211"/>
      <c r="H390" s="211"/>
      <c r="I390" s="211"/>
    </row>
    <row r="391" spans="1:9" ht="15.75" thickBot="1" x14ac:dyDescent="0.3">
      <c r="A391" s="211"/>
      <c r="B391" s="211"/>
      <c r="C391" s="211"/>
      <c r="D391" s="211"/>
      <c r="E391" s="211"/>
      <c r="F391" s="211"/>
      <c r="G391" s="211"/>
      <c r="H391" s="211"/>
      <c r="I391" s="211"/>
    </row>
    <row r="392" spans="1:9" ht="15.75" thickBot="1" x14ac:dyDescent="0.3">
      <c r="A392" s="211"/>
      <c r="B392" s="211"/>
      <c r="C392" s="211"/>
      <c r="D392" s="211"/>
      <c r="E392" s="211"/>
      <c r="F392" s="211"/>
      <c r="G392" s="211"/>
      <c r="H392" s="211"/>
      <c r="I392" s="211"/>
    </row>
    <row r="393" spans="1:9" ht="15.75" thickBot="1" x14ac:dyDescent="0.3">
      <c r="A393" s="211"/>
      <c r="B393" s="211"/>
      <c r="C393" s="211"/>
      <c r="D393" s="211"/>
      <c r="E393" s="211"/>
      <c r="F393" s="211"/>
      <c r="G393" s="211"/>
      <c r="H393" s="211"/>
      <c r="I393" s="211"/>
    </row>
    <row r="394" spans="1:9" ht="15.75" thickBot="1" x14ac:dyDescent="0.3">
      <c r="A394" s="211"/>
      <c r="B394" s="211"/>
      <c r="C394" s="211"/>
      <c r="D394" s="211"/>
      <c r="E394" s="211"/>
      <c r="F394" s="211"/>
      <c r="G394" s="211"/>
      <c r="H394" s="211"/>
      <c r="I394" s="211"/>
    </row>
    <row r="395" spans="1:9" ht="15.75" thickBot="1" x14ac:dyDescent="0.3">
      <c r="A395" s="211"/>
      <c r="B395" s="211"/>
      <c r="C395" s="211"/>
      <c r="D395" s="211"/>
      <c r="E395" s="211"/>
      <c r="F395" s="211"/>
      <c r="G395" s="211"/>
      <c r="H395" s="211"/>
      <c r="I395" s="211"/>
    </row>
    <row r="396" spans="1:9" ht="15.75" thickBot="1" x14ac:dyDescent="0.3">
      <c r="A396" s="211"/>
      <c r="B396" s="211"/>
      <c r="C396" s="211"/>
      <c r="D396" s="211"/>
      <c r="E396" s="211"/>
      <c r="F396" s="211"/>
      <c r="G396" s="211"/>
      <c r="H396" s="211"/>
      <c r="I396" s="211"/>
    </row>
    <row r="397" spans="1:9" ht="15.75" thickBot="1" x14ac:dyDescent="0.3">
      <c r="A397" s="211"/>
      <c r="B397" s="211"/>
      <c r="C397" s="211"/>
      <c r="D397" s="211"/>
      <c r="E397" s="211"/>
      <c r="F397" s="211"/>
      <c r="G397" s="211"/>
      <c r="H397" s="211"/>
      <c r="I397" s="211"/>
    </row>
    <row r="398" spans="1:9" ht="15.75" thickBot="1" x14ac:dyDescent="0.3">
      <c r="A398" s="211"/>
      <c r="B398" s="211"/>
      <c r="C398" s="211"/>
      <c r="D398" s="211"/>
      <c r="E398" s="211"/>
      <c r="F398" s="211"/>
      <c r="G398" s="211"/>
      <c r="H398" s="211"/>
      <c r="I398" s="211"/>
    </row>
    <row r="399" spans="1:9" ht="15.75" thickBot="1" x14ac:dyDescent="0.3">
      <c r="A399" s="211"/>
      <c r="B399" s="211"/>
      <c r="C399" s="211"/>
      <c r="D399" s="211"/>
      <c r="E399" s="211"/>
      <c r="F399" s="211"/>
      <c r="G399" s="211"/>
      <c r="H399" s="211"/>
      <c r="I399" s="211"/>
    </row>
    <row r="400" spans="1:9" ht="15.75" thickBot="1" x14ac:dyDescent="0.3">
      <c r="A400" s="211"/>
      <c r="B400" s="211"/>
      <c r="C400" s="211"/>
      <c r="D400" s="211"/>
      <c r="E400" s="211"/>
      <c r="F400" s="211"/>
      <c r="G400" s="211"/>
      <c r="H400" s="211"/>
      <c r="I400" s="211"/>
    </row>
    <row r="401" spans="1:9" ht="15.75" thickBot="1" x14ac:dyDescent="0.3">
      <c r="A401" s="211"/>
      <c r="B401" s="211"/>
      <c r="C401" s="211"/>
      <c r="D401" s="211"/>
      <c r="E401" s="211"/>
      <c r="F401" s="211"/>
      <c r="G401" s="211"/>
      <c r="H401" s="211"/>
      <c r="I401" s="211"/>
    </row>
    <row r="402" spans="1:9" ht="15.75" thickBot="1" x14ac:dyDescent="0.3">
      <c r="A402" s="211"/>
      <c r="B402" s="211"/>
      <c r="C402" s="211"/>
      <c r="D402" s="211"/>
      <c r="E402" s="211"/>
      <c r="F402" s="211"/>
      <c r="G402" s="211"/>
      <c r="H402" s="211"/>
      <c r="I402" s="211"/>
    </row>
    <row r="403" spans="1:9" ht="15.75" thickBot="1" x14ac:dyDescent="0.3">
      <c r="A403" s="211"/>
      <c r="B403" s="211"/>
      <c r="C403" s="211"/>
      <c r="D403" s="211"/>
      <c r="E403" s="211"/>
      <c r="F403" s="211"/>
      <c r="G403" s="211"/>
      <c r="H403" s="211"/>
      <c r="I403" s="211"/>
    </row>
    <row r="404" spans="1:9" ht="15.75" thickBot="1" x14ac:dyDescent="0.3">
      <c r="A404" s="211"/>
      <c r="B404" s="211"/>
      <c r="C404" s="211"/>
      <c r="D404" s="211"/>
      <c r="E404" s="211"/>
      <c r="F404" s="211"/>
      <c r="G404" s="211"/>
      <c r="H404" s="211"/>
      <c r="I404" s="211"/>
    </row>
    <row r="405" spans="1:9" ht="15.75" thickBot="1" x14ac:dyDescent="0.3">
      <c r="A405" s="211"/>
      <c r="B405" s="211"/>
      <c r="C405" s="211"/>
      <c r="D405" s="211"/>
      <c r="E405" s="211"/>
      <c r="F405" s="211"/>
      <c r="G405" s="211"/>
      <c r="H405" s="211"/>
      <c r="I405" s="211"/>
    </row>
    <row r="406" spans="1:9" ht="15.75" thickBot="1" x14ac:dyDescent="0.3">
      <c r="A406" s="211"/>
      <c r="B406" s="211"/>
      <c r="C406" s="211"/>
      <c r="D406" s="211"/>
      <c r="E406" s="211"/>
      <c r="F406" s="211"/>
      <c r="G406" s="211"/>
      <c r="H406" s="211"/>
      <c r="I406" s="211"/>
    </row>
    <row r="407" spans="1:9" ht="15.75" thickBot="1" x14ac:dyDescent="0.3">
      <c r="A407" s="211"/>
      <c r="B407" s="211"/>
      <c r="C407" s="211"/>
      <c r="D407" s="211"/>
      <c r="E407" s="211"/>
      <c r="F407" s="211"/>
      <c r="G407" s="211"/>
      <c r="H407" s="211"/>
      <c r="I407" s="211"/>
    </row>
    <row r="408" spans="1:9" ht="15.75" thickBot="1" x14ac:dyDescent="0.3">
      <c r="A408" s="211"/>
      <c r="B408" s="211"/>
      <c r="C408" s="211"/>
      <c r="D408" s="211"/>
      <c r="E408" s="211"/>
      <c r="F408" s="211"/>
      <c r="G408" s="211"/>
      <c r="H408" s="211"/>
      <c r="I408" s="211"/>
    </row>
    <row r="409" spans="1:9" ht="15.75" thickBot="1" x14ac:dyDescent="0.3">
      <c r="A409" s="211"/>
      <c r="B409" s="211"/>
      <c r="C409" s="211"/>
      <c r="D409" s="211"/>
      <c r="E409" s="211"/>
      <c r="F409" s="211"/>
      <c r="G409" s="211"/>
      <c r="H409" s="211"/>
      <c r="I409" s="211"/>
    </row>
    <row r="410" spans="1:9" ht="15.75" thickBot="1" x14ac:dyDescent="0.3">
      <c r="A410" s="211"/>
      <c r="B410" s="211"/>
      <c r="C410" s="211"/>
      <c r="D410" s="211"/>
      <c r="E410" s="211"/>
      <c r="F410" s="211"/>
      <c r="G410" s="211"/>
      <c r="H410" s="211"/>
      <c r="I410" s="211"/>
    </row>
    <row r="411" spans="1:9" ht="15.75" thickBot="1" x14ac:dyDescent="0.3">
      <c r="A411" s="211"/>
      <c r="B411" s="211"/>
      <c r="C411" s="211"/>
      <c r="D411" s="211"/>
      <c r="E411" s="211"/>
      <c r="F411" s="211"/>
      <c r="G411" s="211"/>
      <c r="H411" s="211"/>
      <c r="I411" s="211"/>
    </row>
    <row r="412" spans="1:9" ht="15.75" thickBot="1" x14ac:dyDescent="0.3">
      <c r="A412" s="211"/>
      <c r="B412" s="211"/>
      <c r="C412" s="211"/>
      <c r="D412" s="211"/>
      <c r="E412" s="211"/>
      <c r="F412" s="211"/>
      <c r="G412" s="211"/>
      <c r="H412" s="211"/>
      <c r="I412" s="211"/>
    </row>
    <row r="413" spans="1:9" ht="15.75" thickBot="1" x14ac:dyDescent="0.3">
      <c r="A413" s="211"/>
      <c r="B413" s="211"/>
      <c r="C413" s="211"/>
      <c r="D413" s="211"/>
      <c r="E413" s="211"/>
      <c r="F413" s="211"/>
      <c r="G413" s="211"/>
      <c r="H413" s="211"/>
      <c r="I413" s="211"/>
    </row>
    <row r="414" spans="1:9" ht="15.75" thickBot="1" x14ac:dyDescent="0.3">
      <c r="A414" s="211"/>
      <c r="B414" s="211"/>
      <c r="C414" s="211"/>
      <c r="D414" s="211"/>
      <c r="E414" s="211"/>
      <c r="F414" s="211"/>
      <c r="G414" s="211"/>
      <c r="H414" s="211"/>
      <c r="I414" s="211"/>
    </row>
    <row r="415" spans="1:9" ht="15.75" thickBot="1" x14ac:dyDescent="0.3">
      <c r="A415" s="211"/>
      <c r="B415" s="211"/>
      <c r="C415" s="211"/>
      <c r="D415" s="211"/>
      <c r="E415" s="211"/>
      <c r="F415" s="211"/>
      <c r="G415" s="211"/>
      <c r="H415" s="211"/>
      <c r="I415" s="211"/>
    </row>
    <row r="416" spans="1:9" ht="15.75" thickBot="1" x14ac:dyDescent="0.3">
      <c r="A416" s="211"/>
      <c r="B416" s="211"/>
      <c r="C416" s="211"/>
      <c r="D416" s="211"/>
      <c r="E416" s="211"/>
      <c r="F416" s="211"/>
      <c r="G416" s="211"/>
      <c r="H416" s="211"/>
      <c r="I416" s="211"/>
    </row>
    <row r="417" spans="1:9" ht="15.75" thickBot="1" x14ac:dyDescent="0.3">
      <c r="A417" s="211"/>
      <c r="B417" s="211"/>
      <c r="C417" s="211"/>
      <c r="D417" s="211"/>
      <c r="E417" s="211"/>
      <c r="F417" s="211"/>
      <c r="G417" s="211"/>
      <c r="H417" s="211"/>
      <c r="I417" s="211"/>
    </row>
    <row r="418" spans="1:9" ht="15.75" thickBot="1" x14ac:dyDescent="0.3">
      <c r="A418" s="211"/>
      <c r="B418" s="211"/>
      <c r="C418" s="211"/>
      <c r="D418" s="211"/>
      <c r="E418" s="211"/>
      <c r="F418" s="211"/>
      <c r="G418" s="211"/>
      <c r="H418" s="211"/>
      <c r="I418" s="211"/>
    </row>
    <row r="419" spans="1:9" ht="15.75" thickBot="1" x14ac:dyDescent="0.3">
      <c r="A419" s="211"/>
      <c r="B419" s="211"/>
      <c r="C419" s="211"/>
      <c r="D419" s="211"/>
      <c r="E419" s="211"/>
      <c r="F419" s="211"/>
      <c r="G419" s="211"/>
      <c r="H419" s="211"/>
      <c r="I419" s="211"/>
    </row>
    <row r="420" spans="1:9" ht="15.75" thickBot="1" x14ac:dyDescent="0.3">
      <c r="A420" s="211"/>
      <c r="B420" s="211"/>
      <c r="C420" s="211"/>
      <c r="D420" s="211"/>
      <c r="E420" s="211"/>
      <c r="F420" s="211"/>
      <c r="G420" s="211"/>
      <c r="H420" s="211"/>
      <c r="I420" s="211"/>
    </row>
    <row r="421" spans="1:9" ht="15.75" thickBot="1" x14ac:dyDescent="0.3">
      <c r="A421" s="211"/>
      <c r="B421" s="211"/>
      <c r="C421" s="211"/>
      <c r="D421" s="211"/>
      <c r="E421" s="211"/>
      <c r="F421" s="211"/>
      <c r="G421" s="211"/>
      <c r="H421" s="211"/>
      <c r="I421" s="211"/>
    </row>
    <row r="422" spans="1:9" ht="15.75" thickBot="1" x14ac:dyDescent="0.3">
      <c r="A422" s="211"/>
      <c r="B422" s="211"/>
      <c r="C422" s="211"/>
      <c r="D422" s="211"/>
      <c r="E422" s="211"/>
      <c r="F422" s="211"/>
      <c r="G422" s="211"/>
      <c r="H422" s="211"/>
      <c r="I422" s="211"/>
    </row>
    <row r="423" spans="1:9" ht="15.75" thickBot="1" x14ac:dyDescent="0.3">
      <c r="A423" s="211"/>
      <c r="B423" s="211"/>
      <c r="C423" s="211"/>
      <c r="D423" s="211"/>
      <c r="E423" s="211"/>
      <c r="F423" s="211"/>
      <c r="G423" s="211"/>
      <c r="H423" s="211"/>
      <c r="I423" s="211"/>
    </row>
    <row r="424" spans="1:9" ht="15.75" thickBot="1" x14ac:dyDescent="0.3">
      <c r="A424" s="211"/>
      <c r="B424" s="211"/>
      <c r="C424" s="211"/>
      <c r="D424" s="211"/>
      <c r="E424" s="211"/>
      <c r="F424" s="211"/>
      <c r="G424" s="211"/>
      <c r="H424" s="211"/>
      <c r="I424" s="211"/>
    </row>
    <row r="425" spans="1:9" ht="15.75" thickBot="1" x14ac:dyDescent="0.3">
      <c r="A425" s="211"/>
      <c r="B425" s="211"/>
      <c r="C425" s="211"/>
      <c r="D425" s="211"/>
      <c r="E425" s="211"/>
      <c r="F425" s="211"/>
      <c r="G425" s="211"/>
      <c r="H425" s="211"/>
      <c r="I425" s="211"/>
    </row>
    <row r="426" spans="1:9" ht="15.75" thickBot="1" x14ac:dyDescent="0.3">
      <c r="A426" s="211"/>
      <c r="B426" s="211"/>
      <c r="C426" s="211"/>
      <c r="D426" s="211"/>
      <c r="E426" s="211"/>
      <c r="F426" s="211"/>
      <c r="G426" s="211"/>
      <c r="H426" s="211"/>
      <c r="I426" s="211"/>
    </row>
    <row r="427" spans="1:9" ht="15.75" thickBot="1" x14ac:dyDescent="0.3">
      <c r="A427" s="211"/>
      <c r="B427" s="211"/>
      <c r="C427" s="211"/>
      <c r="D427" s="211"/>
      <c r="E427" s="211"/>
      <c r="F427" s="211"/>
      <c r="G427" s="211"/>
      <c r="H427" s="211"/>
      <c r="I427" s="211"/>
    </row>
    <row r="428" spans="1:9" ht="15.75" thickBot="1" x14ac:dyDescent="0.3">
      <c r="A428" s="211"/>
      <c r="B428" s="211"/>
      <c r="C428" s="211"/>
      <c r="D428" s="211"/>
      <c r="E428" s="211"/>
      <c r="F428" s="211"/>
      <c r="G428" s="211"/>
      <c r="H428" s="211"/>
      <c r="I428" s="211"/>
    </row>
    <row r="429" spans="1:9" ht="15.75" thickBot="1" x14ac:dyDescent="0.3">
      <c r="A429" s="211"/>
      <c r="B429" s="211"/>
      <c r="C429" s="211"/>
      <c r="D429" s="211"/>
      <c r="E429" s="211"/>
      <c r="F429" s="211"/>
      <c r="G429" s="211"/>
      <c r="H429" s="211"/>
      <c r="I429" s="211"/>
    </row>
    <row r="430" spans="1:9" ht="15.75" thickBot="1" x14ac:dyDescent="0.3">
      <c r="A430" s="211"/>
      <c r="B430" s="211"/>
      <c r="C430" s="211"/>
      <c r="D430" s="211"/>
      <c r="E430" s="211"/>
      <c r="F430" s="211"/>
      <c r="G430" s="211"/>
      <c r="H430" s="211"/>
      <c r="I430" s="211"/>
    </row>
    <row r="431" spans="1:9" ht="15.75" thickBot="1" x14ac:dyDescent="0.3">
      <c r="A431" s="211"/>
      <c r="B431" s="211"/>
      <c r="C431" s="211"/>
      <c r="D431" s="211"/>
      <c r="E431" s="211"/>
      <c r="F431" s="211"/>
      <c r="G431" s="211"/>
      <c r="H431" s="211"/>
      <c r="I431" s="211"/>
    </row>
    <row r="432" spans="1:9" ht="15.75" thickBot="1" x14ac:dyDescent="0.3">
      <c r="A432" s="211"/>
      <c r="B432" s="211"/>
      <c r="C432" s="211"/>
      <c r="D432" s="211"/>
      <c r="E432" s="211"/>
      <c r="F432" s="211"/>
      <c r="G432" s="211"/>
      <c r="H432" s="211"/>
      <c r="I432" s="211"/>
    </row>
    <row r="433" spans="1:9" ht="15.75" thickBot="1" x14ac:dyDescent="0.3">
      <c r="A433" s="211"/>
      <c r="B433" s="211"/>
      <c r="C433" s="211"/>
      <c r="D433" s="211"/>
      <c r="E433" s="211"/>
      <c r="F433" s="211"/>
      <c r="G433" s="211"/>
      <c r="H433" s="211"/>
      <c r="I433" s="211"/>
    </row>
    <row r="434" spans="1:9" ht="15.75" thickBot="1" x14ac:dyDescent="0.3">
      <c r="A434" s="211"/>
      <c r="B434" s="211"/>
      <c r="C434" s="211"/>
      <c r="D434" s="211"/>
      <c r="E434" s="211"/>
      <c r="F434" s="211"/>
      <c r="G434" s="211"/>
      <c r="H434" s="211"/>
      <c r="I434" s="211"/>
    </row>
    <row r="435" spans="1:9" ht="15.75" thickBot="1" x14ac:dyDescent="0.3">
      <c r="A435" s="211"/>
      <c r="B435" s="211"/>
      <c r="C435" s="211"/>
      <c r="D435" s="211"/>
      <c r="E435" s="211"/>
      <c r="F435" s="211"/>
      <c r="G435" s="211"/>
      <c r="H435" s="211"/>
      <c r="I435" s="211"/>
    </row>
    <row r="436" spans="1:9" ht="15.75" thickBot="1" x14ac:dyDescent="0.3">
      <c r="A436" s="211"/>
      <c r="B436" s="211"/>
      <c r="C436" s="211"/>
      <c r="D436" s="211"/>
      <c r="E436" s="211"/>
      <c r="F436" s="211"/>
      <c r="G436" s="211"/>
      <c r="H436" s="211"/>
      <c r="I436" s="211"/>
    </row>
    <row r="437" spans="1:9" ht="15.75" thickBot="1" x14ac:dyDescent="0.3">
      <c r="A437" s="211"/>
      <c r="B437" s="211"/>
      <c r="C437" s="211"/>
      <c r="D437" s="211"/>
      <c r="E437" s="211"/>
      <c r="F437" s="211"/>
      <c r="G437" s="211"/>
      <c r="H437" s="211"/>
      <c r="I437" s="211"/>
    </row>
    <row r="438" spans="1:9" ht="15.75" thickBot="1" x14ac:dyDescent="0.3">
      <c r="A438" s="211"/>
      <c r="B438" s="211"/>
      <c r="C438" s="211"/>
      <c r="D438" s="211"/>
      <c r="E438" s="211"/>
      <c r="F438" s="211"/>
      <c r="G438" s="211"/>
      <c r="H438" s="211"/>
      <c r="I438" s="211"/>
    </row>
    <row r="439" spans="1:9" ht="15.75" thickBot="1" x14ac:dyDescent="0.3">
      <c r="A439" s="211"/>
      <c r="B439" s="211"/>
      <c r="C439" s="211"/>
      <c r="D439" s="211"/>
      <c r="E439" s="211"/>
      <c r="F439" s="211"/>
      <c r="G439" s="211"/>
      <c r="H439" s="211"/>
      <c r="I439" s="211"/>
    </row>
    <row r="440" spans="1:9" ht="15.75" thickBot="1" x14ac:dyDescent="0.3">
      <c r="A440" s="211"/>
      <c r="B440" s="211"/>
      <c r="C440" s="211"/>
      <c r="D440" s="211"/>
      <c r="E440" s="211"/>
      <c r="F440" s="211"/>
      <c r="G440" s="211"/>
      <c r="H440" s="211"/>
      <c r="I440" s="211"/>
    </row>
    <row r="441" spans="1:9" ht="15.75" thickBot="1" x14ac:dyDescent="0.3">
      <c r="A441" s="211"/>
      <c r="B441" s="211"/>
      <c r="C441" s="211"/>
      <c r="D441" s="211"/>
      <c r="E441" s="211"/>
      <c r="F441" s="211"/>
      <c r="G441" s="211"/>
      <c r="H441" s="211"/>
      <c r="I441" s="211"/>
    </row>
    <row r="442" spans="1:9" ht="15.75" thickBot="1" x14ac:dyDescent="0.3">
      <c r="A442" s="211"/>
      <c r="B442" s="211"/>
      <c r="C442" s="211"/>
      <c r="D442" s="211"/>
      <c r="E442" s="211"/>
      <c r="F442" s="211"/>
      <c r="G442" s="211"/>
      <c r="H442" s="211"/>
      <c r="I442" s="211"/>
    </row>
    <row r="443" spans="1:9" ht="15.75" thickBot="1" x14ac:dyDescent="0.3">
      <c r="A443" s="211"/>
      <c r="B443" s="211"/>
      <c r="C443" s="211"/>
      <c r="D443" s="211"/>
      <c r="E443" s="211"/>
      <c r="F443" s="211"/>
      <c r="G443" s="211"/>
      <c r="H443" s="211"/>
      <c r="I443" s="211"/>
    </row>
    <row r="444" spans="1:9" ht="15.75" thickBot="1" x14ac:dyDescent="0.3">
      <c r="A444" s="211"/>
      <c r="B444" s="211"/>
      <c r="C444" s="211"/>
      <c r="D444" s="211"/>
      <c r="E444" s="211"/>
      <c r="F444" s="211"/>
      <c r="G444" s="211"/>
      <c r="H444" s="211"/>
      <c r="I444" s="211"/>
    </row>
    <row r="445" spans="1:9" ht="15.75" thickBot="1" x14ac:dyDescent="0.3">
      <c r="A445" s="211"/>
      <c r="B445" s="211"/>
      <c r="C445" s="211"/>
      <c r="D445" s="211"/>
      <c r="E445" s="211"/>
      <c r="F445" s="211"/>
      <c r="G445" s="211"/>
      <c r="H445" s="211"/>
      <c r="I445" s="211"/>
    </row>
    <row r="446" spans="1:9" ht="15.75" thickBot="1" x14ac:dyDescent="0.3">
      <c r="A446" s="211"/>
      <c r="B446" s="211"/>
      <c r="C446" s="211"/>
      <c r="D446" s="211"/>
      <c r="E446" s="211"/>
      <c r="F446" s="211"/>
      <c r="G446" s="211"/>
      <c r="H446" s="211"/>
      <c r="I446" s="211"/>
    </row>
    <row r="447" spans="1:9" ht="15.75" thickBot="1" x14ac:dyDescent="0.3">
      <c r="A447" s="211"/>
      <c r="B447" s="211"/>
      <c r="C447" s="211"/>
      <c r="D447" s="211"/>
      <c r="E447" s="211"/>
      <c r="F447" s="211"/>
      <c r="G447" s="211"/>
      <c r="H447" s="211"/>
      <c r="I447" s="211"/>
    </row>
    <row r="448" spans="1:9" ht="15.75" thickBot="1" x14ac:dyDescent="0.3">
      <c r="A448" s="211"/>
      <c r="B448" s="211"/>
      <c r="C448" s="211"/>
      <c r="D448" s="211"/>
      <c r="E448" s="211"/>
      <c r="F448" s="211"/>
      <c r="G448" s="211"/>
      <c r="H448" s="211"/>
      <c r="I448" s="211"/>
    </row>
    <row r="449" spans="1:9" ht="15.75" thickBot="1" x14ac:dyDescent="0.3">
      <c r="A449" s="211"/>
      <c r="B449" s="211"/>
      <c r="C449" s="211"/>
      <c r="D449" s="211"/>
      <c r="E449" s="211"/>
      <c r="F449" s="211"/>
      <c r="G449" s="211"/>
      <c r="H449" s="211"/>
      <c r="I449" s="211"/>
    </row>
    <row r="450" spans="1:9" ht="15.75" thickBot="1" x14ac:dyDescent="0.3">
      <c r="A450" s="211"/>
      <c r="B450" s="211"/>
      <c r="C450" s="211"/>
      <c r="D450" s="211"/>
      <c r="E450" s="211"/>
      <c r="F450" s="211"/>
      <c r="G450" s="211"/>
      <c r="H450" s="211"/>
      <c r="I450" s="211"/>
    </row>
    <row r="451" spans="1:9" ht="15.75" thickBot="1" x14ac:dyDescent="0.3">
      <c r="A451" s="211"/>
      <c r="B451" s="211"/>
      <c r="C451" s="211"/>
      <c r="D451" s="211"/>
      <c r="E451" s="211"/>
      <c r="F451" s="211"/>
      <c r="G451" s="211"/>
      <c r="H451" s="211"/>
      <c r="I451" s="211"/>
    </row>
    <row r="452" spans="1:9" ht="15.75" thickBot="1" x14ac:dyDescent="0.3">
      <c r="A452" s="211"/>
      <c r="B452" s="211"/>
      <c r="C452" s="211"/>
      <c r="D452" s="211"/>
      <c r="E452" s="211"/>
      <c r="F452" s="211"/>
      <c r="G452" s="211"/>
      <c r="H452" s="211"/>
      <c r="I452" s="211"/>
    </row>
    <row r="453" spans="1:9" ht="15.75" thickBot="1" x14ac:dyDescent="0.3">
      <c r="A453" s="211"/>
      <c r="B453" s="211"/>
      <c r="C453" s="211"/>
      <c r="D453" s="211"/>
      <c r="E453" s="211"/>
      <c r="F453" s="211"/>
      <c r="G453" s="211"/>
      <c r="H453" s="211"/>
      <c r="I453" s="211"/>
    </row>
    <row r="454" spans="1:9" ht="15.75" thickBot="1" x14ac:dyDescent="0.3">
      <c r="A454" s="211"/>
      <c r="B454" s="211"/>
      <c r="C454" s="211"/>
      <c r="D454" s="211"/>
      <c r="E454" s="211"/>
      <c r="F454" s="211"/>
      <c r="G454" s="211"/>
      <c r="H454" s="211"/>
      <c r="I454" s="211"/>
    </row>
    <row r="455" spans="1:9" ht="15.75" thickBot="1" x14ac:dyDescent="0.3">
      <c r="A455" s="211"/>
      <c r="B455" s="211"/>
      <c r="C455" s="211"/>
      <c r="D455" s="211"/>
      <c r="E455" s="211"/>
      <c r="F455" s="211"/>
      <c r="G455" s="211"/>
      <c r="H455" s="211"/>
      <c r="I455" s="211"/>
    </row>
    <row r="456" spans="1:9" ht="15.75" thickBot="1" x14ac:dyDescent="0.3">
      <c r="A456" s="211"/>
      <c r="B456" s="211"/>
      <c r="C456" s="211"/>
      <c r="D456" s="211"/>
      <c r="E456" s="211"/>
      <c r="F456" s="211"/>
      <c r="G456" s="211"/>
      <c r="H456" s="211"/>
      <c r="I456" s="211"/>
    </row>
    <row r="457" spans="1:9" ht="15.75" thickBot="1" x14ac:dyDescent="0.3">
      <c r="A457" s="211"/>
      <c r="B457" s="211"/>
      <c r="C457" s="211"/>
      <c r="D457" s="211"/>
      <c r="E457" s="211"/>
      <c r="F457" s="211"/>
      <c r="G457" s="211"/>
      <c r="H457" s="211"/>
      <c r="I457" s="211"/>
    </row>
    <row r="458" spans="1:9" ht="15.75" thickBot="1" x14ac:dyDescent="0.3">
      <c r="A458" s="211"/>
      <c r="B458" s="211"/>
      <c r="C458" s="211"/>
      <c r="D458" s="211"/>
      <c r="E458" s="211"/>
      <c r="F458" s="211"/>
      <c r="G458" s="211"/>
      <c r="H458" s="211"/>
      <c r="I458" s="211"/>
    </row>
    <row r="459" spans="1:9" ht="15.75" thickBot="1" x14ac:dyDescent="0.3">
      <c r="A459" s="211"/>
      <c r="B459" s="211"/>
      <c r="C459" s="211"/>
      <c r="D459" s="211"/>
      <c r="E459" s="211"/>
      <c r="F459" s="211"/>
      <c r="G459" s="211"/>
      <c r="H459" s="211"/>
      <c r="I459" s="211"/>
    </row>
    <row r="460" spans="1:9" ht="15.75" thickBot="1" x14ac:dyDescent="0.3">
      <c r="A460" s="211"/>
      <c r="B460" s="211"/>
      <c r="C460" s="211"/>
      <c r="D460" s="211"/>
      <c r="E460" s="211"/>
      <c r="F460" s="211"/>
      <c r="G460" s="211"/>
      <c r="H460" s="211"/>
      <c r="I460" s="211"/>
    </row>
    <row r="461" spans="1:9" ht="15.75" thickBot="1" x14ac:dyDescent="0.3">
      <c r="A461" s="211"/>
      <c r="B461" s="211"/>
      <c r="C461" s="211"/>
      <c r="D461" s="211"/>
      <c r="E461" s="211"/>
      <c r="F461" s="211"/>
      <c r="G461" s="211"/>
      <c r="H461" s="211"/>
      <c r="I461" s="211"/>
    </row>
    <row r="462" spans="1:9" ht="15.75" thickBot="1" x14ac:dyDescent="0.3">
      <c r="A462" s="211"/>
      <c r="B462" s="211"/>
      <c r="C462" s="211"/>
      <c r="D462" s="211"/>
      <c r="E462" s="211"/>
      <c r="F462" s="211"/>
      <c r="G462" s="211"/>
      <c r="H462" s="211"/>
      <c r="I462" s="211"/>
    </row>
    <row r="463" spans="1:9" ht="15.75" thickBot="1" x14ac:dyDescent="0.3">
      <c r="A463" s="211"/>
      <c r="B463" s="211"/>
      <c r="C463" s="211"/>
      <c r="D463" s="211"/>
      <c r="E463" s="211"/>
      <c r="F463" s="211"/>
      <c r="G463" s="211"/>
      <c r="H463" s="211"/>
      <c r="I463" s="211"/>
    </row>
    <row r="464" spans="1:9" ht="15.75" thickBot="1" x14ac:dyDescent="0.3">
      <c r="A464" s="211"/>
      <c r="B464" s="211"/>
      <c r="C464" s="211"/>
      <c r="D464" s="211"/>
      <c r="E464" s="211"/>
      <c r="F464" s="211"/>
      <c r="G464" s="211"/>
      <c r="H464" s="211"/>
      <c r="I464" s="211"/>
    </row>
    <row r="465" spans="1:9" ht="15.75" thickBot="1" x14ac:dyDescent="0.3">
      <c r="A465" s="211"/>
      <c r="B465" s="211"/>
      <c r="C465" s="211"/>
      <c r="D465" s="211"/>
      <c r="E465" s="211"/>
      <c r="F465" s="211"/>
      <c r="G465" s="211"/>
      <c r="H465" s="211"/>
      <c r="I465" s="211"/>
    </row>
    <row r="466" spans="1:9" ht="15.75" thickBot="1" x14ac:dyDescent="0.3">
      <c r="A466" s="211"/>
      <c r="B466" s="211"/>
      <c r="C466" s="211"/>
      <c r="D466" s="211"/>
      <c r="E466" s="211"/>
      <c r="F466" s="211"/>
      <c r="G466" s="211"/>
      <c r="H466" s="211"/>
      <c r="I466" s="211"/>
    </row>
    <row r="467" spans="1:9" ht="15.75" thickBot="1" x14ac:dyDescent="0.3">
      <c r="A467" s="211"/>
      <c r="B467" s="211"/>
      <c r="C467" s="211"/>
      <c r="D467" s="211"/>
      <c r="E467" s="211"/>
      <c r="F467" s="211"/>
      <c r="G467" s="211"/>
      <c r="H467" s="211"/>
      <c r="I467" s="211"/>
    </row>
    <row r="468" spans="1:9" ht="15.75" thickBot="1" x14ac:dyDescent="0.3">
      <c r="A468" s="211"/>
      <c r="B468" s="211"/>
      <c r="C468" s="211"/>
      <c r="D468" s="211"/>
      <c r="E468" s="211"/>
      <c r="F468" s="211"/>
      <c r="G468" s="211"/>
      <c r="H468" s="211"/>
      <c r="I468" s="211"/>
    </row>
    <row r="469" spans="1:9" ht="15.75" thickBot="1" x14ac:dyDescent="0.3">
      <c r="A469" s="211"/>
      <c r="B469" s="211"/>
      <c r="C469" s="211"/>
      <c r="D469" s="211"/>
      <c r="E469" s="211"/>
      <c r="F469" s="211"/>
      <c r="G469" s="211"/>
      <c r="H469" s="211"/>
      <c r="I469" s="211"/>
    </row>
    <row r="470" spans="1:9" ht="15.75" thickBot="1" x14ac:dyDescent="0.3">
      <c r="A470" s="211"/>
      <c r="B470" s="211"/>
      <c r="C470" s="211"/>
      <c r="D470" s="211"/>
      <c r="E470" s="211"/>
      <c r="F470" s="211"/>
      <c r="G470" s="211"/>
      <c r="H470" s="211"/>
      <c r="I470" s="211"/>
    </row>
    <row r="471" spans="1:9" ht="15.75" thickBot="1" x14ac:dyDescent="0.3">
      <c r="A471" s="211"/>
      <c r="B471" s="211"/>
      <c r="C471" s="211"/>
      <c r="D471" s="211"/>
      <c r="E471" s="211"/>
      <c r="F471" s="211"/>
      <c r="G471" s="211"/>
      <c r="H471" s="211"/>
      <c r="I471" s="211"/>
    </row>
    <row r="472" spans="1:9" ht="15.75" thickBot="1" x14ac:dyDescent="0.3">
      <c r="A472" s="211"/>
      <c r="B472" s="211"/>
      <c r="C472" s="211"/>
      <c r="D472" s="211"/>
      <c r="E472" s="211"/>
      <c r="F472" s="211"/>
      <c r="G472" s="211"/>
      <c r="H472" s="211"/>
      <c r="I472" s="211"/>
    </row>
    <row r="473" spans="1:9" ht="15.75" thickBot="1" x14ac:dyDescent="0.3">
      <c r="A473" s="211"/>
      <c r="B473" s="211"/>
      <c r="C473" s="211"/>
      <c r="D473" s="211"/>
      <c r="E473" s="211"/>
      <c r="F473" s="211"/>
      <c r="G473" s="211"/>
      <c r="H473" s="211"/>
      <c r="I473" s="211"/>
    </row>
    <row r="474" spans="1:9" ht="15.75" thickBot="1" x14ac:dyDescent="0.3">
      <c r="A474" s="211"/>
      <c r="B474" s="211"/>
      <c r="C474" s="211"/>
      <c r="D474" s="211"/>
      <c r="E474" s="211"/>
      <c r="F474" s="211"/>
      <c r="G474" s="211"/>
      <c r="H474" s="211"/>
      <c r="I474" s="211"/>
    </row>
    <row r="475" spans="1:9" ht="15.75" thickBot="1" x14ac:dyDescent="0.3">
      <c r="A475" s="211"/>
      <c r="B475" s="211"/>
      <c r="C475" s="211"/>
      <c r="D475" s="211"/>
      <c r="E475" s="211"/>
      <c r="F475" s="211"/>
      <c r="G475" s="211"/>
      <c r="H475" s="211"/>
      <c r="I475" s="211"/>
    </row>
    <row r="476" spans="1:9" ht="15.75" thickBot="1" x14ac:dyDescent="0.3">
      <c r="A476" s="211"/>
      <c r="B476" s="211"/>
      <c r="C476" s="211"/>
      <c r="D476" s="211"/>
      <c r="E476" s="211"/>
      <c r="F476" s="211"/>
      <c r="G476" s="211"/>
      <c r="H476" s="211"/>
      <c r="I476" s="211"/>
    </row>
    <row r="477" spans="1:9" ht="15.75" thickBot="1" x14ac:dyDescent="0.3">
      <c r="A477" s="211"/>
      <c r="B477" s="211"/>
      <c r="C477" s="211"/>
      <c r="D477" s="211"/>
      <c r="E477" s="211"/>
      <c r="F477" s="211"/>
      <c r="G477" s="211"/>
      <c r="H477" s="211"/>
      <c r="I477" s="211"/>
    </row>
    <row r="478" spans="1:9" ht="15.75" thickBot="1" x14ac:dyDescent="0.3">
      <c r="A478" s="211"/>
      <c r="B478" s="211"/>
      <c r="C478" s="211"/>
      <c r="D478" s="211"/>
      <c r="E478" s="211"/>
      <c r="F478" s="211"/>
      <c r="G478" s="211"/>
      <c r="H478" s="211"/>
      <c r="I478" s="211"/>
    </row>
    <row r="479" spans="1:9" ht="15.75" thickBot="1" x14ac:dyDescent="0.3">
      <c r="A479" s="211"/>
      <c r="B479" s="211"/>
      <c r="C479" s="211"/>
      <c r="D479" s="211"/>
      <c r="E479" s="211"/>
      <c r="F479" s="211"/>
      <c r="G479" s="211"/>
      <c r="H479" s="211"/>
      <c r="I479" s="211"/>
    </row>
    <row r="480" spans="1:9" ht="15.75" thickBot="1" x14ac:dyDescent="0.3">
      <c r="A480" s="211"/>
      <c r="B480" s="211"/>
      <c r="C480" s="211"/>
      <c r="D480" s="211"/>
      <c r="E480" s="211"/>
      <c r="F480" s="211"/>
      <c r="G480" s="211"/>
      <c r="H480" s="211"/>
      <c r="I480" s="211"/>
    </row>
    <row r="481" spans="1:9" ht="15.75" thickBot="1" x14ac:dyDescent="0.3">
      <c r="A481" s="211"/>
      <c r="B481" s="211"/>
      <c r="C481" s="211"/>
      <c r="D481" s="211"/>
      <c r="E481" s="211"/>
      <c r="F481" s="211"/>
      <c r="G481" s="211"/>
      <c r="H481" s="211"/>
      <c r="I481" s="211"/>
    </row>
    <row r="482" spans="1:9" ht="15.75" thickBot="1" x14ac:dyDescent="0.3">
      <c r="A482" s="211"/>
      <c r="B482" s="211"/>
      <c r="C482" s="211"/>
      <c r="D482" s="211"/>
      <c r="E482" s="211"/>
      <c r="F482" s="211"/>
      <c r="G482" s="211"/>
      <c r="H482" s="211"/>
      <c r="I482" s="211"/>
    </row>
    <row r="483" spans="1:9" ht="15.75" thickBot="1" x14ac:dyDescent="0.3">
      <c r="A483" s="211"/>
      <c r="B483" s="211"/>
      <c r="C483" s="211"/>
      <c r="D483" s="211"/>
      <c r="E483" s="211"/>
      <c r="F483" s="211"/>
      <c r="G483" s="211"/>
      <c r="H483" s="211"/>
      <c r="I483" s="211"/>
    </row>
    <row r="484" spans="1:9" ht="15.75" thickBot="1" x14ac:dyDescent="0.3">
      <c r="A484" s="211"/>
      <c r="B484" s="211"/>
      <c r="C484" s="211"/>
      <c r="D484" s="211"/>
      <c r="E484" s="211"/>
      <c r="F484" s="211"/>
      <c r="G484" s="211"/>
      <c r="H484" s="211"/>
      <c r="I484" s="211"/>
    </row>
    <row r="485" spans="1:9" ht="15.75" thickBot="1" x14ac:dyDescent="0.3">
      <c r="A485" s="211"/>
      <c r="B485" s="211"/>
      <c r="C485" s="211"/>
      <c r="D485" s="211"/>
      <c r="E485" s="211"/>
      <c r="F485" s="211"/>
      <c r="G485" s="211"/>
      <c r="H485" s="211"/>
      <c r="I485" s="211"/>
    </row>
    <row r="486" spans="1:9" ht="15.75" thickBot="1" x14ac:dyDescent="0.3">
      <c r="A486" s="211"/>
      <c r="B486" s="211"/>
      <c r="C486" s="211"/>
      <c r="D486" s="211"/>
      <c r="E486" s="211"/>
      <c r="F486" s="211"/>
      <c r="G486" s="211"/>
      <c r="H486" s="211"/>
      <c r="I486" s="211"/>
    </row>
    <row r="487" spans="1:9" ht="15.75" thickBot="1" x14ac:dyDescent="0.3">
      <c r="A487" s="211"/>
      <c r="B487" s="211"/>
      <c r="C487" s="211"/>
      <c r="D487" s="211"/>
      <c r="E487" s="211"/>
      <c r="F487" s="211"/>
      <c r="G487" s="211"/>
      <c r="H487" s="211"/>
      <c r="I487" s="211"/>
    </row>
    <row r="488" spans="1:9" ht="15.75" thickBot="1" x14ac:dyDescent="0.3">
      <c r="A488" s="211"/>
      <c r="B488" s="211"/>
      <c r="C488" s="211"/>
      <c r="D488" s="211"/>
      <c r="E488" s="211"/>
      <c r="F488" s="211"/>
      <c r="G488" s="211"/>
      <c r="H488" s="211"/>
      <c r="I488" s="211"/>
    </row>
    <row r="489" spans="1:9" ht="15.75" thickBot="1" x14ac:dyDescent="0.3">
      <c r="A489" s="211"/>
      <c r="B489" s="211"/>
      <c r="C489" s="211"/>
      <c r="D489" s="211"/>
      <c r="E489" s="211"/>
      <c r="F489" s="211"/>
      <c r="G489" s="211"/>
      <c r="H489" s="211"/>
      <c r="I489" s="211"/>
    </row>
    <row r="490" spans="1:9" ht="15.75" thickBot="1" x14ac:dyDescent="0.3">
      <c r="A490" s="211"/>
      <c r="B490" s="211"/>
      <c r="C490" s="211"/>
      <c r="D490" s="211"/>
      <c r="E490" s="211"/>
      <c r="F490" s="211"/>
      <c r="G490" s="211"/>
      <c r="H490" s="211"/>
      <c r="I490" s="211"/>
    </row>
    <row r="491" spans="1:9" ht="15.75" thickBot="1" x14ac:dyDescent="0.3">
      <c r="A491" s="211"/>
      <c r="B491" s="211"/>
      <c r="C491" s="211"/>
      <c r="D491" s="211"/>
      <c r="E491" s="211"/>
      <c r="F491" s="211"/>
      <c r="G491" s="211"/>
      <c r="H491" s="211"/>
      <c r="I491" s="211"/>
    </row>
    <row r="492" spans="1:9" ht="15.75" thickBot="1" x14ac:dyDescent="0.3">
      <c r="A492" s="211"/>
      <c r="B492" s="211"/>
      <c r="C492" s="211"/>
      <c r="D492" s="211"/>
      <c r="E492" s="211"/>
      <c r="F492" s="211"/>
      <c r="G492" s="211"/>
      <c r="H492" s="211"/>
      <c r="I492" s="211"/>
    </row>
    <row r="493" spans="1:9" ht="15.75" thickBot="1" x14ac:dyDescent="0.3">
      <c r="A493" s="211"/>
      <c r="B493" s="211"/>
      <c r="C493" s="211"/>
      <c r="D493" s="211"/>
      <c r="E493" s="211"/>
      <c r="F493" s="211"/>
      <c r="G493" s="211"/>
      <c r="H493" s="211"/>
      <c r="I493" s="211"/>
    </row>
    <row r="494" spans="1:9" ht="15.75" thickBot="1" x14ac:dyDescent="0.3">
      <c r="A494" s="211"/>
      <c r="B494" s="211"/>
      <c r="C494" s="211"/>
      <c r="D494" s="211"/>
      <c r="E494" s="211"/>
      <c r="F494" s="211"/>
      <c r="G494" s="211"/>
      <c r="H494" s="211"/>
      <c r="I494" s="211"/>
    </row>
    <row r="495" spans="1:9" ht="15.75" thickBot="1" x14ac:dyDescent="0.3">
      <c r="A495" s="211"/>
      <c r="B495" s="211"/>
      <c r="C495" s="211"/>
      <c r="D495" s="211"/>
      <c r="E495" s="211"/>
      <c r="F495" s="211"/>
      <c r="G495" s="211"/>
      <c r="H495" s="211"/>
      <c r="I495" s="211"/>
    </row>
    <row r="496" spans="1:9" ht="15.75" thickBot="1" x14ac:dyDescent="0.3">
      <c r="A496" s="211"/>
      <c r="B496" s="211"/>
      <c r="C496" s="211"/>
      <c r="D496" s="211"/>
      <c r="E496" s="211"/>
      <c r="F496" s="211"/>
      <c r="G496" s="211"/>
      <c r="H496" s="211"/>
      <c r="I496" s="211"/>
    </row>
    <row r="497" spans="1:9" ht="15.75" thickBot="1" x14ac:dyDescent="0.3">
      <c r="A497" s="211"/>
      <c r="B497" s="211"/>
      <c r="C497" s="211"/>
      <c r="D497" s="211"/>
      <c r="E497" s="211"/>
      <c r="F497" s="211"/>
      <c r="G497" s="211"/>
      <c r="H497" s="211"/>
      <c r="I497" s="211"/>
    </row>
    <row r="498" spans="1:9" ht="15.75" thickBot="1" x14ac:dyDescent="0.3">
      <c r="A498" s="211"/>
      <c r="B498" s="211"/>
      <c r="C498" s="211"/>
      <c r="D498" s="211"/>
      <c r="E498" s="211"/>
      <c r="F498" s="211"/>
      <c r="G498" s="211"/>
      <c r="H498" s="211"/>
      <c r="I498" s="211"/>
    </row>
    <row r="499" spans="1:9" ht="15.75" thickBot="1" x14ac:dyDescent="0.3">
      <c r="A499" s="211"/>
      <c r="B499" s="211"/>
      <c r="C499" s="211"/>
      <c r="D499" s="211"/>
      <c r="E499" s="211"/>
      <c r="F499" s="211"/>
      <c r="G499" s="211"/>
      <c r="H499" s="211"/>
      <c r="I499" s="211"/>
    </row>
    <row r="500" spans="1:9" ht="15.75" thickBot="1" x14ac:dyDescent="0.3">
      <c r="A500" s="211"/>
      <c r="B500" s="211"/>
      <c r="C500" s="211"/>
      <c r="D500" s="211"/>
      <c r="E500" s="211"/>
      <c r="F500" s="211"/>
      <c r="G500" s="211"/>
      <c r="H500" s="211"/>
      <c r="I500" s="211"/>
    </row>
    <row r="501" spans="1:9" ht="15.75" thickBot="1" x14ac:dyDescent="0.3">
      <c r="A501" s="211"/>
      <c r="B501" s="211"/>
      <c r="C501" s="211"/>
      <c r="D501" s="211"/>
      <c r="E501" s="211"/>
      <c r="F501" s="211"/>
      <c r="G501" s="211"/>
      <c r="H501" s="211"/>
      <c r="I501" s="211"/>
    </row>
    <row r="502" spans="1:9" ht="15.75" thickBot="1" x14ac:dyDescent="0.3">
      <c r="A502" s="211"/>
      <c r="B502" s="211"/>
      <c r="C502" s="211"/>
      <c r="D502" s="211"/>
      <c r="E502" s="211"/>
      <c r="F502" s="211"/>
      <c r="G502" s="211"/>
      <c r="H502" s="211"/>
      <c r="I502" s="211"/>
    </row>
    <row r="503" spans="1:9" ht="15.75" thickBot="1" x14ac:dyDescent="0.3">
      <c r="A503" s="211"/>
      <c r="B503" s="211"/>
      <c r="C503" s="211"/>
      <c r="D503" s="211"/>
      <c r="E503" s="211"/>
      <c r="F503" s="211"/>
      <c r="G503" s="211"/>
      <c r="H503" s="211"/>
      <c r="I503" s="211"/>
    </row>
    <row r="504" spans="1:9" ht="15.75" thickBot="1" x14ac:dyDescent="0.3">
      <c r="A504" s="211"/>
      <c r="B504" s="211"/>
      <c r="C504" s="211"/>
      <c r="D504" s="211"/>
      <c r="E504" s="211"/>
      <c r="F504" s="211"/>
      <c r="G504" s="211"/>
      <c r="H504" s="211"/>
      <c r="I504" s="211"/>
    </row>
    <row r="505" spans="1:9" ht="15.75" thickBot="1" x14ac:dyDescent="0.3">
      <c r="A505" s="211"/>
      <c r="B505" s="211"/>
      <c r="C505" s="211"/>
      <c r="D505" s="211"/>
      <c r="E505" s="211"/>
      <c r="F505" s="211"/>
      <c r="G505" s="211"/>
      <c r="H505" s="211"/>
      <c r="I505" s="211"/>
    </row>
    <row r="506" spans="1:9" ht="15.75" thickBot="1" x14ac:dyDescent="0.3">
      <c r="A506" s="211"/>
      <c r="B506" s="211"/>
      <c r="C506" s="211"/>
      <c r="D506" s="211"/>
      <c r="E506" s="211"/>
      <c r="F506" s="211"/>
      <c r="G506" s="211"/>
      <c r="H506" s="211"/>
      <c r="I506" s="211"/>
    </row>
    <row r="507" spans="1:9" ht="15.75" thickBot="1" x14ac:dyDescent="0.3">
      <c r="A507" s="211"/>
      <c r="B507" s="211"/>
      <c r="C507" s="211"/>
      <c r="D507" s="211"/>
      <c r="E507" s="211"/>
      <c r="F507" s="211"/>
      <c r="G507" s="211"/>
      <c r="H507" s="211"/>
      <c r="I507" s="211"/>
    </row>
    <row r="508" spans="1:9" ht="15.75" thickBot="1" x14ac:dyDescent="0.3">
      <c r="A508" s="211"/>
      <c r="B508" s="211"/>
      <c r="C508" s="211"/>
      <c r="D508" s="211"/>
      <c r="E508" s="211"/>
      <c r="F508" s="211"/>
      <c r="G508" s="211"/>
      <c r="H508" s="211"/>
      <c r="I508" s="211"/>
    </row>
    <row r="509" spans="1:9" ht="15.75" thickBot="1" x14ac:dyDescent="0.3">
      <c r="A509" s="211"/>
      <c r="B509" s="211"/>
      <c r="C509" s="211"/>
      <c r="D509" s="211"/>
      <c r="E509" s="211"/>
      <c r="F509" s="211"/>
      <c r="G509" s="211"/>
      <c r="H509" s="211"/>
      <c r="I509" s="211"/>
    </row>
    <row r="510" spans="1:9" ht="15.75" thickBot="1" x14ac:dyDescent="0.3">
      <c r="A510" s="211"/>
      <c r="B510" s="211"/>
      <c r="C510" s="211"/>
      <c r="D510" s="211"/>
      <c r="E510" s="211"/>
      <c r="F510" s="211"/>
      <c r="G510" s="211"/>
      <c r="H510" s="211"/>
      <c r="I510" s="211"/>
    </row>
    <row r="511" spans="1:9" ht="15.75" thickBot="1" x14ac:dyDescent="0.3">
      <c r="A511" s="211"/>
      <c r="B511" s="211"/>
      <c r="C511" s="211"/>
      <c r="D511" s="211"/>
      <c r="E511" s="211"/>
      <c r="F511" s="211"/>
      <c r="G511" s="211"/>
      <c r="H511" s="211"/>
      <c r="I511" s="211"/>
    </row>
    <row r="512" spans="1:9" ht="15.75" thickBot="1" x14ac:dyDescent="0.3">
      <c r="A512" s="211"/>
      <c r="B512" s="211"/>
      <c r="C512" s="211"/>
      <c r="D512" s="211"/>
      <c r="E512" s="211"/>
      <c r="F512" s="211"/>
      <c r="G512" s="211"/>
      <c r="H512" s="211"/>
      <c r="I512" s="211"/>
    </row>
    <row r="513" spans="1:9" ht="15.75" thickBot="1" x14ac:dyDescent="0.3">
      <c r="A513" s="211"/>
      <c r="B513" s="211"/>
      <c r="C513" s="211"/>
      <c r="D513" s="211"/>
      <c r="E513" s="211"/>
      <c r="F513" s="211"/>
      <c r="G513" s="211"/>
      <c r="H513" s="211"/>
      <c r="I513" s="211"/>
    </row>
    <row r="514" spans="1:9" ht="15.75" thickBot="1" x14ac:dyDescent="0.3">
      <c r="A514" s="211"/>
      <c r="B514" s="211"/>
      <c r="C514" s="211"/>
      <c r="D514" s="211"/>
      <c r="E514" s="211"/>
      <c r="F514" s="211"/>
      <c r="G514" s="211"/>
      <c r="H514" s="211"/>
      <c r="I514" s="211"/>
    </row>
    <row r="515" spans="1:9" ht="15.75" thickBot="1" x14ac:dyDescent="0.3">
      <c r="A515" s="211"/>
      <c r="B515" s="211"/>
      <c r="C515" s="211"/>
      <c r="D515" s="211"/>
      <c r="E515" s="211"/>
      <c r="F515" s="211"/>
      <c r="G515" s="211"/>
      <c r="H515" s="211"/>
      <c r="I515" s="211"/>
    </row>
    <row r="516" spans="1:9" ht="15.75" thickBot="1" x14ac:dyDescent="0.3">
      <c r="A516" s="211"/>
      <c r="B516" s="211"/>
      <c r="C516" s="211"/>
      <c r="D516" s="211"/>
      <c r="E516" s="211"/>
      <c r="F516" s="211"/>
      <c r="G516" s="211"/>
      <c r="H516" s="211"/>
      <c r="I516" s="211"/>
    </row>
    <row r="517" spans="1:9" ht="15.75" thickBot="1" x14ac:dyDescent="0.3">
      <c r="A517" s="211"/>
      <c r="B517" s="211"/>
      <c r="C517" s="211"/>
      <c r="D517" s="211"/>
      <c r="E517" s="211"/>
      <c r="F517" s="211"/>
      <c r="G517" s="211"/>
      <c r="H517" s="211"/>
      <c r="I517" s="211"/>
    </row>
    <row r="518" spans="1:9" ht="15.75" thickBot="1" x14ac:dyDescent="0.3">
      <c r="A518" s="211"/>
      <c r="B518" s="211"/>
      <c r="C518" s="211"/>
      <c r="D518" s="211"/>
      <c r="E518" s="211"/>
      <c r="F518" s="211"/>
      <c r="G518" s="211"/>
      <c r="H518" s="211"/>
      <c r="I518" s="211"/>
    </row>
    <row r="519" spans="1:9" ht="15.75" thickBot="1" x14ac:dyDescent="0.3">
      <c r="A519" s="211"/>
      <c r="B519" s="211"/>
      <c r="C519" s="211"/>
      <c r="D519" s="211"/>
      <c r="E519" s="211"/>
      <c r="F519" s="211"/>
      <c r="G519" s="211"/>
      <c r="H519" s="211"/>
      <c r="I519" s="211"/>
    </row>
    <row r="520" spans="1:9" ht="15.75" thickBot="1" x14ac:dyDescent="0.3">
      <c r="A520" s="211"/>
      <c r="B520" s="211"/>
      <c r="C520" s="211"/>
      <c r="D520" s="211"/>
      <c r="E520" s="211"/>
      <c r="F520" s="211"/>
      <c r="G520" s="211"/>
      <c r="H520" s="211"/>
      <c r="I520" s="211"/>
    </row>
    <row r="521" spans="1:9" ht="15.75" thickBot="1" x14ac:dyDescent="0.3">
      <c r="A521" s="211"/>
      <c r="B521" s="211"/>
      <c r="C521" s="211"/>
      <c r="D521" s="211"/>
      <c r="E521" s="211"/>
      <c r="F521" s="211"/>
      <c r="G521" s="211"/>
      <c r="H521" s="211"/>
      <c r="I521" s="211"/>
    </row>
    <row r="522" spans="1:9" ht="15.75" thickBot="1" x14ac:dyDescent="0.3">
      <c r="A522" s="211"/>
      <c r="B522" s="211"/>
      <c r="C522" s="211"/>
      <c r="D522" s="211"/>
      <c r="E522" s="211"/>
      <c r="F522" s="211"/>
      <c r="G522" s="211"/>
      <c r="H522" s="211"/>
      <c r="I522" s="211"/>
    </row>
    <row r="523" spans="1:9" ht="15.75" thickBot="1" x14ac:dyDescent="0.3">
      <c r="A523" s="211"/>
      <c r="B523" s="211"/>
      <c r="C523" s="211"/>
      <c r="D523" s="211"/>
      <c r="E523" s="211"/>
      <c r="F523" s="211"/>
      <c r="G523" s="211"/>
      <c r="H523" s="211"/>
      <c r="I523" s="211"/>
    </row>
    <row r="524" spans="1:9" ht="15.75" thickBot="1" x14ac:dyDescent="0.3">
      <c r="A524" s="211"/>
      <c r="B524" s="211"/>
      <c r="C524" s="211"/>
      <c r="D524" s="211"/>
      <c r="E524" s="211"/>
      <c r="F524" s="211"/>
      <c r="G524" s="211"/>
      <c r="H524" s="211"/>
      <c r="I524" s="211"/>
    </row>
    <row r="525" spans="1:9" ht="15.75" thickBot="1" x14ac:dyDescent="0.3">
      <c r="A525" s="211"/>
      <c r="B525" s="211"/>
      <c r="C525" s="211"/>
      <c r="D525" s="211"/>
      <c r="E525" s="211"/>
      <c r="F525" s="211"/>
      <c r="G525" s="211"/>
      <c r="H525" s="211"/>
      <c r="I525" s="211"/>
    </row>
    <row r="526" spans="1:9" ht="15.75" thickBot="1" x14ac:dyDescent="0.3">
      <c r="A526" s="211"/>
      <c r="B526" s="211"/>
      <c r="C526" s="211"/>
      <c r="D526" s="211"/>
      <c r="E526" s="211"/>
      <c r="F526" s="211"/>
      <c r="G526" s="211"/>
      <c r="H526" s="211"/>
      <c r="I526" s="211"/>
    </row>
    <row r="527" spans="1:9" ht="15.75" thickBot="1" x14ac:dyDescent="0.3">
      <c r="A527" s="211"/>
      <c r="B527" s="211"/>
      <c r="C527" s="211"/>
      <c r="D527" s="211"/>
      <c r="E527" s="211"/>
      <c r="F527" s="211"/>
      <c r="G527" s="211"/>
      <c r="H527" s="211"/>
      <c r="I527" s="211"/>
    </row>
    <row r="528" spans="1:9" ht="15.75" thickBot="1" x14ac:dyDescent="0.3">
      <c r="A528" s="211"/>
      <c r="B528" s="211"/>
      <c r="C528" s="211"/>
      <c r="D528" s="211"/>
      <c r="E528" s="211"/>
      <c r="F528" s="211"/>
      <c r="G528" s="211"/>
      <c r="H528" s="211"/>
      <c r="I528" s="211"/>
    </row>
    <row r="529" spans="1:9" ht="15.75" thickBot="1" x14ac:dyDescent="0.3">
      <c r="A529" s="211"/>
      <c r="B529" s="211"/>
      <c r="C529" s="211"/>
      <c r="D529" s="211"/>
      <c r="E529" s="211"/>
      <c r="F529" s="211"/>
      <c r="G529" s="211"/>
      <c r="H529" s="211"/>
      <c r="I529" s="211"/>
    </row>
    <row r="530" spans="1:9" ht="15.75" thickBot="1" x14ac:dyDescent="0.3">
      <c r="A530" s="211"/>
      <c r="B530" s="211"/>
      <c r="C530" s="211"/>
      <c r="D530" s="211"/>
      <c r="E530" s="211"/>
      <c r="F530" s="211"/>
      <c r="G530" s="211"/>
      <c r="H530" s="211"/>
      <c r="I530" s="211"/>
    </row>
    <row r="531" spans="1:9" ht="15.75" thickBot="1" x14ac:dyDescent="0.3">
      <c r="A531" s="211"/>
      <c r="B531" s="211"/>
      <c r="C531" s="211"/>
      <c r="D531" s="211"/>
      <c r="E531" s="211"/>
      <c r="F531" s="211"/>
      <c r="G531" s="211"/>
      <c r="H531" s="211"/>
      <c r="I531" s="211"/>
    </row>
    <row r="532" spans="1:9" ht="15.75" thickBot="1" x14ac:dyDescent="0.3">
      <c r="A532" s="211"/>
      <c r="B532" s="211"/>
      <c r="C532" s="211"/>
      <c r="D532" s="211"/>
      <c r="E532" s="211"/>
      <c r="F532" s="211"/>
      <c r="G532" s="211"/>
      <c r="H532" s="211"/>
      <c r="I532" s="211"/>
    </row>
    <row r="533" spans="1:9" ht="15.75" thickBot="1" x14ac:dyDescent="0.3">
      <c r="A533" s="211"/>
      <c r="B533" s="211"/>
      <c r="C533" s="211"/>
      <c r="D533" s="211"/>
      <c r="E533" s="211"/>
      <c r="F533" s="211"/>
      <c r="G533" s="211"/>
      <c r="H533" s="211"/>
      <c r="I533" s="211"/>
    </row>
    <row r="534" spans="1:9" ht="15.75" thickBot="1" x14ac:dyDescent="0.3">
      <c r="A534" s="211"/>
      <c r="B534" s="211"/>
      <c r="C534" s="211"/>
      <c r="D534" s="211"/>
      <c r="E534" s="211"/>
      <c r="F534" s="211"/>
      <c r="G534" s="211"/>
      <c r="H534" s="211"/>
      <c r="I534" s="211"/>
    </row>
    <row r="535" spans="1:9" ht="15.75" thickBot="1" x14ac:dyDescent="0.3">
      <c r="A535" s="211"/>
      <c r="B535" s="211"/>
      <c r="C535" s="211"/>
      <c r="D535" s="211"/>
      <c r="E535" s="211"/>
      <c r="F535" s="211"/>
      <c r="G535" s="211"/>
      <c r="H535" s="211"/>
      <c r="I535" s="211"/>
    </row>
    <row r="536" spans="1:9" ht="15.75" thickBot="1" x14ac:dyDescent="0.3">
      <c r="A536" s="211"/>
      <c r="B536" s="211"/>
      <c r="C536" s="211"/>
      <c r="D536" s="211"/>
      <c r="E536" s="211"/>
      <c r="F536" s="211"/>
      <c r="G536" s="211"/>
      <c r="H536" s="211"/>
      <c r="I536" s="211"/>
    </row>
    <row r="537" spans="1:9" ht="15.75" thickBot="1" x14ac:dyDescent="0.3">
      <c r="A537" s="211"/>
      <c r="B537" s="211"/>
      <c r="C537" s="211"/>
      <c r="D537" s="211"/>
      <c r="E537" s="211"/>
      <c r="F537" s="211"/>
      <c r="G537" s="211"/>
      <c r="H537" s="211"/>
      <c r="I537" s="211"/>
    </row>
    <row r="538" spans="1:9" ht="15.75" thickBot="1" x14ac:dyDescent="0.3">
      <c r="A538" s="211"/>
      <c r="B538" s="211"/>
      <c r="C538" s="211"/>
      <c r="D538" s="211"/>
      <c r="E538" s="211"/>
      <c r="F538" s="211"/>
      <c r="G538" s="211"/>
      <c r="H538" s="211"/>
      <c r="I538" s="211"/>
    </row>
    <row r="539" spans="1:9" ht="15.75" thickBot="1" x14ac:dyDescent="0.3">
      <c r="A539" s="211"/>
      <c r="B539" s="211"/>
      <c r="C539" s="211"/>
      <c r="D539" s="211"/>
      <c r="E539" s="211"/>
      <c r="F539" s="211"/>
      <c r="G539" s="211"/>
      <c r="H539" s="211"/>
      <c r="I539" s="211"/>
    </row>
    <row r="540" spans="1:9" ht="15.75" thickBot="1" x14ac:dyDescent="0.3">
      <c r="A540" s="211"/>
      <c r="B540" s="211"/>
      <c r="C540" s="211"/>
      <c r="D540" s="211"/>
      <c r="E540" s="211"/>
      <c r="F540" s="211"/>
      <c r="G540" s="211"/>
      <c r="H540" s="211"/>
      <c r="I540" s="211"/>
    </row>
    <row r="541" spans="1:9" ht="15.75" thickBot="1" x14ac:dyDescent="0.3">
      <c r="A541" s="211"/>
      <c r="B541" s="211"/>
      <c r="C541" s="211"/>
      <c r="D541" s="211"/>
      <c r="E541" s="211"/>
      <c r="F541" s="211"/>
      <c r="G541" s="211"/>
      <c r="H541" s="211"/>
      <c r="I541" s="211"/>
    </row>
    <row r="542" spans="1:9" ht="15.75" thickBot="1" x14ac:dyDescent="0.3">
      <c r="A542" s="211"/>
      <c r="B542" s="211"/>
      <c r="C542" s="211"/>
      <c r="D542" s="211"/>
      <c r="E542" s="211"/>
      <c r="F542" s="211"/>
      <c r="G542" s="211"/>
      <c r="H542" s="211"/>
      <c r="I542" s="211"/>
    </row>
    <row r="543" spans="1:9" ht="15.75" thickBot="1" x14ac:dyDescent="0.3">
      <c r="A543" s="211"/>
      <c r="B543" s="211"/>
      <c r="C543" s="211"/>
      <c r="D543" s="211"/>
      <c r="E543" s="211"/>
      <c r="F543" s="211"/>
      <c r="G543" s="211"/>
      <c r="H543" s="211"/>
      <c r="I543" s="211"/>
    </row>
    <row r="544" spans="1:9" ht="15.75" thickBot="1" x14ac:dyDescent="0.3">
      <c r="A544" s="211"/>
      <c r="B544" s="211"/>
      <c r="C544" s="211"/>
      <c r="D544" s="211"/>
      <c r="E544" s="211"/>
      <c r="F544" s="211"/>
      <c r="G544" s="211"/>
      <c r="H544" s="211"/>
      <c r="I544" s="211"/>
    </row>
    <row r="545" spans="1:9" ht="15.75" thickBot="1" x14ac:dyDescent="0.3">
      <c r="A545" s="211"/>
      <c r="B545" s="211"/>
      <c r="C545" s="211"/>
      <c r="D545" s="211"/>
      <c r="E545" s="211"/>
      <c r="F545" s="211"/>
      <c r="G545" s="211"/>
      <c r="H545" s="211"/>
      <c r="I545" s="211"/>
    </row>
    <row r="546" spans="1:9" ht="15.75" thickBot="1" x14ac:dyDescent="0.3">
      <c r="A546" s="211"/>
      <c r="B546" s="211"/>
      <c r="C546" s="211"/>
      <c r="D546" s="211"/>
      <c r="E546" s="211"/>
      <c r="F546" s="211"/>
      <c r="G546" s="211"/>
      <c r="H546" s="211"/>
      <c r="I546" s="211"/>
    </row>
    <row r="547" spans="1:9" ht="15.75" thickBot="1" x14ac:dyDescent="0.3">
      <c r="A547" s="211"/>
      <c r="B547" s="211"/>
      <c r="C547" s="211"/>
      <c r="D547" s="211"/>
      <c r="E547" s="211"/>
      <c r="F547" s="211"/>
      <c r="G547" s="211"/>
      <c r="H547" s="211"/>
      <c r="I547" s="211"/>
    </row>
    <row r="548" spans="1:9" ht="15.75" thickBot="1" x14ac:dyDescent="0.3">
      <c r="A548" s="211"/>
      <c r="B548" s="211"/>
      <c r="C548" s="211"/>
      <c r="D548" s="211"/>
      <c r="E548" s="211"/>
      <c r="F548" s="211"/>
      <c r="G548" s="211"/>
      <c r="H548" s="211"/>
      <c r="I548" s="211"/>
    </row>
    <row r="549" spans="1:9" ht="15.75" thickBot="1" x14ac:dyDescent="0.3">
      <c r="A549" s="211"/>
      <c r="B549" s="211"/>
      <c r="C549" s="211"/>
      <c r="D549" s="211"/>
      <c r="E549" s="211"/>
      <c r="F549" s="211"/>
      <c r="G549" s="211"/>
      <c r="H549" s="211"/>
      <c r="I549" s="211"/>
    </row>
    <row r="550" spans="1:9" ht="15.75" thickBot="1" x14ac:dyDescent="0.3">
      <c r="A550" s="211"/>
      <c r="B550" s="211"/>
      <c r="C550" s="211"/>
      <c r="D550" s="211"/>
      <c r="E550" s="211"/>
      <c r="F550" s="211"/>
      <c r="G550" s="211"/>
      <c r="H550" s="211"/>
      <c r="I550" s="211"/>
    </row>
    <row r="551" spans="1:9" ht="15.75" thickBot="1" x14ac:dyDescent="0.3">
      <c r="A551" s="211"/>
      <c r="B551" s="211"/>
      <c r="C551" s="211"/>
      <c r="D551" s="211"/>
      <c r="E551" s="211"/>
      <c r="F551" s="211"/>
      <c r="G551" s="211"/>
      <c r="H551" s="211"/>
      <c r="I551" s="211"/>
    </row>
    <row r="552" spans="1:9" ht="15.75" thickBot="1" x14ac:dyDescent="0.3">
      <c r="A552" s="211"/>
      <c r="B552" s="211"/>
      <c r="C552" s="211"/>
      <c r="D552" s="211"/>
      <c r="E552" s="211"/>
      <c r="F552" s="211"/>
      <c r="G552" s="211"/>
      <c r="H552" s="211"/>
      <c r="I552" s="211"/>
    </row>
    <row r="553" spans="1:9" ht="15.75" thickBot="1" x14ac:dyDescent="0.3">
      <c r="A553" s="211"/>
      <c r="B553" s="211"/>
      <c r="C553" s="211"/>
      <c r="D553" s="211"/>
      <c r="E553" s="211"/>
      <c r="F553" s="211"/>
      <c r="G553" s="211"/>
      <c r="H553" s="211"/>
      <c r="I553" s="211"/>
    </row>
    <row r="554" spans="1:9" ht="15.75" thickBot="1" x14ac:dyDescent="0.3">
      <c r="A554" s="211"/>
      <c r="B554" s="211"/>
      <c r="C554" s="211"/>
      <c r="D554" s="211"/>
      <c r="E554" s="211"/>
      <c r="F554" s="211"/>
      <c r="G554" s="211"/>
      <c r="H554" s="211"/>
      <c r="I554" s="211"/>
    </row>
    <row r="555" spans="1:9" ht="15.75" thickBot="1" x14ac:dyDescent="0.3">
      <c r="A555" s="211"/>
      <c r="B555" s="211"/>
      <c r="C555" s="211"/>
      <c r="D555" s="211"/>
      <c r="E555" s="211"/>
      <c r="F555" s="211"/>
      <c r="G555" s="211"/>
      <c r="H555" s="211"/>
      <c r="I555" s="211"/>
    </row>
    <row r="556" spans="1:9" ht="15.75" thickBot="1" x14ac:dyDescent="0.3">
      <c r="A556" s="211"/>
      <c r="B556" s="211"/>
      <c r="C556" s="211"/>
      <c r="D556" s="211"/>
      <c r="E556" s="211"/>
      <c r="F556" s="211"/>
      <c r="G556" s="211"/>
      <c r="H556" s="211"/>
      <c r="I556" s="211"/>
    </row>
    <row r="557" spans="1:9" ht="15.75" thickBot="1" x14ac:dyDescent="0.3">
      <c r="A557" s="211"/>
      <c r="B557" s="211"/>
      <c r="C557" s="211"/>
      <c r="D557" s="211"/>
      <c r="E557" s="211"/>
      <c r="F557" s="211"/>
      <c r="G557" s="211"/>
      <c r="H557" s="211"/>
      <c r="I557" s="211"/>
    </row>
    <row r="558" spans="1:9" ht="15.75" thickBot="1" x14ac:dyDescent="0.3">
      <c r="A558" s="211"/>
      <c r="B558" s="211"/>
      <c r="C558" s="211"/>
      <c r="D558" s="211"/>
      <c r="E558" s="211"/>
      <c r="F558" s="211"/>
      <c r="G558" s="211"/>
      <c r="H558" s="211"/>
      <c r="I558" s="211"/>
    </row>
    <row r="559" spans="1:9" ht="15.75" thickBot="1" x14ac:dyDescent="0.3">
      <c r="A559" s="211"/>
      <c r="B559" s="211"/>
      <c r="C559" s="211"/>
      <c r="D559" s="211"/>
      <c r="E559" s="211"/>
      <c r="F559" s="211"/>
      <c r="G559" s="211"/>
      <c r="H559" s="211"/>
      <c r="I559" s="211"/>
    </row>
    <row r="560" spans="1:9" ht="15.75" thickBot="1" x14ac:dyDescent="0.3">
      <c r="A560" s="211"/>
      <c r="B560" s="211"/>
      <c r="C560" s="211"/>
      <c r="D560" s="211"/>
      <c r="E560" s="211"/>
      <c r="F560" s="211"/>
      <c r="G560" s="211"/>
      <c r="H560" s="211"/>
      <c r="I560" s="211"/>
    </row>
    <row r="561" spans="1:9" ht="15.75" thickBot="1" x14ac:dyDescent="0.3">
      <c r="A561" s="211"/>
      <c r="B561" s="211"/>
      <c r="C561" s="211"/>
      <c r="D561" s="211"/>
      <c r="E561" s="211"/>
      <c r="F561" s="211"/>
      <c r="G561" s="211"/>
      <c r="H561" s="211"/>
      <c r="I561" s="211"/>
    </row>
    <row r="562" spans="1:9" ht="15.75" thickBot="1" x14ac:dyDescent="0.3">
      <c r="A562" s="211"/>
      <c r="B562" s="211"/>
      <c r="C562" s="211"/>
      <c r="D562" s="211"/>
      <c r="E562" s="211"/>
      <c r="F562" s="211"/>
      <c r="G562" s="211"/>
      <c r="H562" s="211"/>
      <c r="I562" s="211"/>
    </row>
    <row r="563" spans="1:9" ht="15.75" thickBot="1" x14ac:dyDescent="0.3">
      <c r="A563" s="211"/>
      <c r="B563" s="211"/>
      <c r="C563" s="211"/>
      <c r="D563" s="211"/>
      <c r="E563" s="211"/>
      <c r="F563" s="211"/>
      <c r="G563" s="211"/>
      <c r="H563" s="211"/>
      <c r="I563" s="211"/>
    </row>
    <row r="564" spans="1:9" ht="15.75" thickBot="1" x14ac:dyDescent="0.3">
      <c r="A564" s="211"/>
      <c r="B564" s="211"/>
      <c r="C564" s="211"/>
      <c r="D564" s="211"/>
      <c r="E564" s="211"/>
      <c r="F564" s="211"/>
      <c r="G564" s="211"/>
      <c r="H564" s="211"/>
      <c r="I564" s="211"/>
    </row>
    <row r="565" spans="1:9" ht="15.75" thickBot="1" x14ac:dyDescent="0.3">
      <c r="A565" s="211"/>
      <c r="B565" s="211"/>
      <c r="C565" s="211"/>
      <c r="D565" s="211"/>
      <c r="E565" s="211"/>
      <c r="F565" s="211"/>
      <c r="G565" s="211"/>
      <c r="H565" s="211"/>
      <c r="I565" s="211"/>
    </row>
    <row r="566" spans="1:9" ht="15.75" thickBot="1" x14ac:dyDescent="0.3">
      <c r="A566" s="211"/>
      <c r="B566" s="211"/>
      <c r="C566" s="211"/>
      <c r="D566" s="211"/>
      <c r="E566" s="211"/>
      <c r="F566" s="211"/>
      <c r="G566" s="211"/>
      <c r="H566" s="211"/>
      <c r="I566" s="211"/>
    </row>
    <row r="567" spans="1:9" ht="15.75" thickBot="1" x14ac:dyDescent="0.3">
      <c r="A567" s="211"/>
      <c r="B567" s="211"/>
      <c r="C567" s="211"/>
      <c r="D567" s="211"/>
      <c r="E567" s="211"/>
      <c r="F567" s="211"/>
      <c r="G567" s="211"/>
      <c r="H567" s="211"/>
      <c r="I567" s="211"/>
    </row>
    <row r="568" spans="1:9" ht="15.75" thickBot="1" x14ac:dyDescent="0.3">
      <c r="A568" s="211"/>
      <c r="B568" s="211"/>
      <c r="C568" s="211"/>
      <c r="D568" s="211"/>
      <c r="E568" s="211"/>
      <c r="F568" s="211"/>
      <c r="G568" s="211"/>
      <c r="H568" s="211"/>
      <c r="I568" s="211"/>
    </row>
    <row r="569" spans="1:9" ht="15.75" thickBot="1" x14ac:dyDescent="0.3">
      <c r="A569" s="211"/>
      <c r="B569" s="211"/>
      <c r="C569" s="211"/>
      <c r="D569" s="211"/>
      <c r="E569" s="211"/>
      <c r="F569" s="211"/>
      <c r="G569" s="211"/>
      <c r="H569" s="211"/>
      <c r="I569" s="211"/>
    </row>
    <row r="570" spans="1:9" ht="15.75" thickBot="1" x14ac:dyDescent="0.3">
      <c r="A570" s="211"/>
      <c r="B570" s="211"/>
      <c r="C570" s="211"/>
      <c r="D570" s="211"/>
      <c r="E570" s="211"/>
      <c r="F570" s="211"/>
      <c r="G570" s="211"/>
      <c r="H570" s="211"/>
      <c r="I570" s="211"/>
    </row>
    <row r="571" spans="1:9" ht="15.75" thickBot="1" x14ac:dyDescent="0.3">
      <c r="A571" s="211"/>
      <c r="B571" s="211"/>
      <c r="C571" s="211"/>
      <c r="D571" s="211"/>
      <c r="E571" s="211"/>
      <c r="F571" s="211"/>
      <c r="G571" s="211"/>
      <c r="H571" s="211"/>
      <c r="I571" s="211"/>
    </row>
    <row r="572" spans="1:9" ht="15.75" thickBot="1" x14ac:dyDescent="0.3">
      <c r="A572" s="211"/>
      <c r="B572" s="211"/>
      <c r="C572" s="211"/>
      <c r="D572" s="211"/>
      <c r="E572" s="211"/>
      <c r="F572" s="211"/>
      <c r="G572" s="211"/>
      <c r="H572" s="211"/>
      <c r="I572" s="211"/>
    </row>
    <row r="573" spans="1:9" ht="15.75" thickBot="1" x14ac:dyDescent="0.3">
      <c r="A573" s="211"/>
      <c r="B573" s="211"/>
      <c r="C573" s="211"/>
      <c r="D573" s="211"/>
      <c r="E573" s="211"/>
      <c r="F573" s="211"/>
      <c r="G573" s="211"/>
      <c r="H573" s="211"/>
      <c r="I573" s="211"/>
    </row>
    <row r="574" spans="1:9" ht="15.75" thickBot="1" x14ac:dyDescent="0.3">
      <c r="A574" s="211"/>
      <c r="B574" s="211"/>
      <c r="C574" s="211"/>
      <c r="D574" s="211"/>
      <c r="E574" s="211"/>
      <c r="F574" s="211"/>
      <c r="G574" s="211"/>
      <c r="H574" s="211"/>
      <c r="I574" s="211"/>
    </row>
    <row r="575" spans="1:9" ht="15.75" thickBot="1" x14ac:dyDescent="0.3">
      <c r="A575" s="211"/>
      <c r="B575" s="211"/>
      <c r="C575" s="211"/>
      <c r="D575" s="211"/>
      <c r="E575" s="211"/>
      <c r="F575" s="211"/>
      <c r="G575" s="211"/>
      <c r="H575" s="211"/>
      <c r="I575" s="211"/>
    </row>
    <row r="576" spans="1:9" ht="15.75" thickBot="1" x14ac:dyDescent="0.3">
      <c r="A576" s="211"/>
      <c r="B576" s="211"/>
      <c r="C576" s="211"/>
      <c r="D576" s="211"/>
      <c r="E576" s="211"/>
      <c r="F576" s="211"/>
      <c r="G576" s="211"/>
      <c r="H576" s="211"/>
      <c r="I576" s="211"/>
    </row>
    <row r="577" spans="1:9" ht="15.75" thickBot="1" x14ac:dyDescent="0.3">
      <c r="A577" s="211"/>
      <c r="B577" s="211"/>
      <c r="C577" s="211"/>
      <c r="D577" s="211"/>
      <c r="E577" s="211"/>
      <c r="F577" s="211"/>
      <c r="G577" s="211"/>
      <c r="H577" s="211"/>
      <c r="I577" s="211"/>
    </row>
    <row r="578" spans="1:9" ht="15.75" thickBot="1" x14ac:dyDescent="0.3">
      <c r="A578" s="211"/>
      <c r="B578" s="211"/>
      <c r="C578" s="211"/>
      <c r="D578" s="211"/>
      <c r="E578" s="211"/>
      <c r="F578" s="211"/>
      <c r="G578" s="211"/>
      <c r="H578" s="211"/>
      <c r="I578" s="211"/>
    </row>
    <row r="579" spans="1:9" ht="15.75" thickBot="1" x14ac:dyDescent="0.3">
      <c r="A579" s="211"/>
      <c r="B579" s="211"/>
      <c r="C579" s="211"/>
      <c r="D579" s="211"/>
      <c r="E579" s="211"/>
      <c r="F579" s="211"/>
      <c r="G579" s="211"/>
      <c r="H579" s="211"/>
      <c r="I579" s="211"/>
    </row>
    <row r="580" spans="1:9" ht="15.75" thickBot="1" x14ac:dyDescent="0.3">
      <c r="A580" s="211"/>
      <c r="B580" s="211"/>
      <c r="C580" s="211"/>
      <c r="D580" s="211"/>
      <c r="E580" s="211"/>
      <c r="F580" s="211"/>
      <c r="G580" s="211"/>
      <c r="H580" s="211"/>
      <c r="I580" s="211"/>
    </row>
    <row r="581" spans="1:9" ht="15.75" thickBot="1" x14ac:dyDescent="0.3">
      <c r="A581" s="211"/>
      <c r="B581" s="211"/>
      <c r="C581" s="211"/>
      <c r="D581" s="211"/>
      <c r="E581" s="211"/>
      <c r="F581" s="211"/>
      <c r="G581" s="211"/>
      <c r="H581" s="211"/>
      <c r="I581" s="211"/>
    </row>
    <row r="582" spans="1:9" ht="15.75" thickBot="1" x14ac:dyDescent="0.3">
      <c r="A582" s="211"/>
      <c r="B582" s="211"/>
      <c r="C582" s="211"/>
      <c r="D582" s="211"/>
      <c r="E582" s="211"/>
      <c r="F582" s="211"/>
      <c r="G582" s="211"/>
      <c r="H582" s="211"/>
      <c r="I582" s="211"/>
    </row>
    <row r="583" spans="1:9" ht="15.75" thickBot="1" x14ac:dyDescent="0.3">
      <c r="A583" s="211"/>
      <c r="B583" s="211"/>
      <c r="C583" s="211"/>
      <c r="D583" s="211"/>
      <c r="E583" s="211"/>
      <c r="F583" s="211"/>
      <c r="G583" s="211"/>
      <c r="H583" s="211"/>
      <c r="I583" s="211"/>
    </row>
    <row r="584" spans="1:9" ht="15.75" thickBot="1" x14ac:dyDescent="0.3">
      <c r="A584" s="211"/>
      <c r="B584" s="211"/>
      <c r="C584" s="211"/>
      <c r="D584" s="211"/>
      <c r="E584" s="211"/>
      <c r="F584" s="211"/>
      <c r="G584" s="211"/>
      <c r="H584" s="211"/>
      <c r="I584" s="211"/>
    </row>
    <row r="585" spans="1:9" ht="15.75" thickBot="1" x14ac:dyDescent="0.3">
      <c r="A585" s="211"/>
      <c r="B585" s="211"/>
      <c r="C585" s="211"/>
      <c r="D585" s="211"/>
      <c r="E585" s="211"/>
      <c r="F585" s="211"/>
      <c r="G585" s="211"/>
      <c r="H585" s="211"/>
      <c r="I585" s="211"/>
    </row>
    <row r="586" spans="1:9" ht="15.75" thickBot="1" x14ac:dyDescent="0.3">
      <c r="A586" s="211"/>
      <c r="B586" s="211"/>
      <c r="C586" s="211"/>
      <c r="D586" s="211"/>
      <c r="E586" s="211"/>
      <c r="F586" s="211"/>
      <c r="G586" s="211"/>
      <c r="H586" s="211"/>
      <c r="I586" s="211"/>
    </row>
    <row r="587" spans="1:9" ht="15.75" thickBot="1" x14ac:dyDescent="0.3">
      <c r="A587" s="211"/>
      <c r="B587" s="211"/>
      <c r="C587" s="211"/>
      <c r="D587" s="211"/>
      <c r="E587" s="211"/>
      <c r="F587" s="211"/>
      <c r="G587" s="211"/>
      <c r="H587" s="211"/>
      <c r="I587" s="211"/>
    </row>
    <row r="588" spans="1:9" ht="15.75" thickBot="1" x14ac:dyDescent="0.3">
      <c r="A588" s="211"/>
      <c r="B588" s="211"/>
      <c r="C588" s="211"/>
      <c r="D588" s="211"/>
      <c r="E588" s="211"/>
      <c r="F588" s="211"/>
      <c r="G588" s="211"/>
      <c r="H588" s="211"/>
      <c r="I588" s="211"/>
    </row>
    <row r="589" spans="1:9" ht="15.75" thickBot="1" x14ac:dyDescent="0.3">
      <c r="A589" s="211"/>
      <c r="B589" s="211"/>
      <c r="C589" s="211"/>
      <c r="D589" s="211"/>
      <c r="E589" s="211"/>
      <c r="F589" s="211"/>
      <c r="G589" s="211"/>
      <c r="H589" s="211"/>
      <c r="I589" s="211"/>
    </row>
    <row r="590" spans="1:9" ht="15.75" thickBot="1" x14ac:dyDescent="0.3">
      <c r="A590" s="211"/>
      <c r="B590" s="211"/>
      <c r="C590" s="211"/>
      <c r="D590" s="211"/>
      <c r="E590" s="211"/>
      <c r="F590" s="211"/>
      <c r="G590" s="211"/>
      <c r="H590" s="211"/>
      <c r="I590" s="211"/>
    </row>
    <row r="591" spans="1:9" ht="15.75" thickBot="1" x14ac:dyDescent="0.3">
      <c r="A591" s="211"/>
      <c r="B591" s="211"/>
      <c r="C591" s="211"/>
      <c r="D591" s="211"/>
      <c r="E591" s="211"/>
      <c r="F591" s="211"/>
      <c r="G591" s="211"/>
      <c r="H591" s="211"/>
      <c r="I591" s="211"/>
    </row>
    <row r="592" spans="1:9" ht="15.75" thickBot="1" x14ac:dyDescent="0.3">
      <c r="A592" s="211"/>
      <c r="B592" s="211"/>
      <c r="C592" s="211"/>
      <c r="D592" s="211"/>
      <c r="E592" s="211"/>
      <c r="F592" s="211"/>
      <c r="G592" s="211"/>
      <c r="H592" s="211"/>
      <c r="I592" s="211"/>
    </row>
    <row r="593" spans="1:9" ht="15.75" thickBot="1" x14ac:dyDescent="0.3">
      <c r="A593" s="211"/>
      <c r="B593" s="211"/>
      <c r="C593" s="211"/>
      <c r="D593" s="211"/>
      <c r="E593" s="211"/>
      <c r="F593" s="211"/>
      <c r="G593" s="211"/>
      <c r="H593" s="211"/>
      <c r="I593" s="211"/>
    </row>
    <row r="594" spans="1:9" ht="15.75" thickBot="1" x14ac:dyDescent="0.3">
      <c r="A594" s="211"/>
      <c r="B594" s="211"/>
      <c r="C594" s="211"/>
      <c r="D594" s="211"/>
      <c r="E594" s="211"/>
      <c r="F594" s="211"/>
      <c r="G594" s="211"/>
      <c r="H594" s="211"/>
      <c r="I594" s="211"/>
    </row>
    <row r="595" spans="1:9" ht="15.75" thickBot="1" x14ac:dyDescent="0.3">
      <c r="A595" s="211"/>
      <c r="B595" s="211"/>
      <c r="C595" s="211"/>
      <c r="D595" s="211"/>
      <c r="E595" s="211"/>
      <c r="F595" s="211"/>
      <c r="G595" s="211"/>
      <c r="H595" s="211"/>
      <c r="I595" s="211"/>
    </row>
    <row r="596" spans="1:9" ht="15.75" thickBot="1" x14ac:dyDescent="0.3">
      <c r="A596" s="211"/>
      <c r="B596" s="211"/>
      <c r="C596" s="211"/>
      <c r="D596" s="211"/>
      <c r="E596" s="211"/>
      <c r="F596" s="211"/>
      <c r="G596" s="211"/>
      <c r="H596" s="211"/>
      <c r="I596" s="211"/>
    </row>
    <row r="597" spans="1:9" ht="15.75" thickBot="1" x14ac:dyDescent="0.3">
      <c r="A597" s="211"/>
      <c r="B597" s="211"/>
      <c r="C597" s="211"/>
      <c r="D597" s="211"/>
      <c r="E597" s="211"/>
      <c r="F597" s="211"/>
      <c r="G597" s="211"/>
      <c r="H597" s="211"/>
      <c r="I597" s="211"/>
    </row>
    <row r="598" spans="1:9" ht="15.75" thickBot="1" x14ac:dyDescent="0.3">
      <c r="A598" s="211"/>
      <c r="B598" s="211"/>
      <c r="C598" s="211"/>
      <c r="D598" s="211"/>
      <c r="E598" s="211"/>
      <c r="F598" s="211"/>
      <c r="G598" s="211"/>
      <c r="H598" s="211"/>
      <c r="I598" s="211"/>
    </row>
    <row r="599" spans="1:9" ht="15.75" thickBot="1" x14ac:dyDescent="0.3">
      <c r="A599" s="211"/>
      <c r="B599" s="211"/>
      <c r="C599" s="211"/>
      <c r="D599" s="211"/>
      <c r="E599" s="211"/>
      <c r="F599" s="211"/>
      <c r="G599" s="211"/>
      <c r="H599" s="211"/>
      <c r="I599" s="211"/>
    </row>
    <row r="600" spans="1:9" ht="15.75" thickBot="1" x14ac:dyDescent="0.3">
      <c r="A600" s="211"/>
      <c r="B600" s="211"/>
      <c r="C600" s="211"/>
      <c r="D600" s="211"/>
      <c r="E600" s="211"/>
      <c r="F600" s="211"/>
      <c r="G600" s="211"/>
      <c r="H600" s="211"/>
      <c r="I600" s="211"/>
    </row>
    <row r="601" spans="1:9" ht="15.75" thickBot="1" x14ac:dyDescent="0.3">
      <c r="A601" s="211"/>
      <c r="B601" s="211"/>
      <c r="C601" s="211"/>
      <c r="D601" s="211"/>
      <c r="E601" s="211"/>
      <c r="F601" s="211"/>
      <c r="G601" s="211"/>
      <c r="H601" s="211"/>
      <c r="I601" s="211"/>
    </row>
    <row r="602" spans="1:9" ht="15.75" thickBot="1" x14ac:dyDescent="0.3">
      <c r="A602" s="211"/>
      <c r="B602" s="211"/>
      <c r="C602" s="211"/>
      <c r="D602" s="211"/>
      <c r="E602" s="211"/>
      <c r="F602" s="211"/>
      <c r="G602" s="211"/>
      <c r="H602" s="211"/>
      <c r="I602" s="211"/>
    </row>
    <row r="603" spans="1:9" ht="15.75" thickBot="1" x14ac:dyDescent="0.3">
      <c r="A603" s="211"/>
      <c r="B603" s="211"/>
      <c r="C603" s="211"/>
      <c r="D603" s="211"/>
      <c r="E603" s="211"/>
      <c r="F603" s="211"/>
      <c r="G603" s="211"/>
      <c r="H603" s="211"/>
      <c r="I603" s="211"/>
    </row>
    <row r="604" spans="1:9" ht="15.75" thickBot="1" x14ac:dyDescent="0.3">
      <c r="A604" s="211"/>
      <c r="B604" s="211"/>
      <c r="C604" s="211"/>
      <c r="D604" s="211"/>
      <c r="E604" s="211"/>
      <c r="F604" s="211"/>
      <c r="G604" s="211"/>
      <c r="H604" s="211"/>
      <c r="I604" s="211"/>
    </row>
    <row r="605" spans="1:9" ht="15.75" thickBot="1" x14ac:dyDescent="0.3">
      <c r="A605" s="211"/>
      <c r="B605" s="211"/>
      <c r="C605" s="211"/>
      <c r="D605" s="211"/>
      <c r="E605" s="211"/>
      <c r="F605" s="211"/>
      <c r="G605" s="211"/>
      <c r="H605" s="211"/>
      <c r="I605" s="211"/>
    </row>
    <row r="606" spans="1:9" ht="15.75" thickBot="1" x14ac:dyDescent="0.3">
      <c r="A606" s="211"/>
      <c r="B606" s="211"/>
      <c r="C606" s="211"/>
      <c r="D606" s="211"/>
      <c r="E606" s="211"/>
      <c r="F606" s="211"/>
      <c r="G606" s="211"/>
      <c r="H606" s="211"/>
      <c r="I606" s="211"/>
    </row>
    <row r="607" spans="1:9" ht="15.75" thickBot="1" x14ac:dyDescent="0.3">
      <c r="A607" s="211"/>
      <c r="B607" s="211"/>
      <c r="C607" s="211"/>
      <c r="D607" s="211"/>
      <c r="E607" s="211"/>
      <c r="F607" s="211"/>
      <c r="G607" s="211"/>
      <c r="H607" s="211"/>
      <c r="I607" s="211"/>
    </row>
    <row r="608" spans="1:9" ht="15.75" thickBot="1" x14ac:dyDescent="0.3">
      <c r="A608" s="211"/>
      <c r="B608" s="211"/>
      <c r="C608" s="211"/>
      <c r="D608" s="211"/>
      <c r="E608" s="211"/>
      <c r="F608" s="211"/>
      <c r="G608" s="211"/>
      <c r="H608" s="211"/>
      <c r="I608" s="211"/>
    </row>
    <row r="609" spans="1:9" ht="15.75" thickBot="1" x14ac:dyDescent="0.3">
      <c r="A609" s="211"/>
      <c r="B609" s="211"/>
      <c r="C609" s="211"/>
      <c r="D609" s="211"/>
      <c r="E609" s="211"/>
      <c r="F609" s="211"/>
      <c r="G609" s="211"/>
      <c r="H609" s="211"/>
      <c r="I609" s="211"/>
    </row>
    <row r="610" spans="1:9" ht="15.75" thickBot="1" x14ac:dyDescent="0.3">
      <c r="A610" s="211"/>
      <c r="B610" s="211"/>
      <c r="C610" s="211"/>
      <c r="D610" s="211"/>
      <c r="E610" s="211"/>
      <c r="F610" s="211"/>
      <c r="G610" s="211"/>
      <c r="H610" s="211"/>
      <c r="I610" s="211"/>
    </row>
    <row r="611" spans="1:9" ht="15.75" thickBot="1" x14ac:dyDescent="0.3">
      <c r="A611" s="211"/>
      <c r="B611" s="211"/>
      <c r="C611" s="211"/>
      <c r="D611" s="211"/>
      <c r="E611" s="211"/>
      <c r="F611" s="211"/>
      <c r="G611" s="211"/>
      <c r="H611" s="211"/>
      <c r="I611" s="211"/>
    </row>
    <row r="612" spans="1:9" ht="15.75" thickBot="1" x14ac:dyDescent="0.3">
      <c r="A612" s="211"/>
      <c r="B612" s="211"/>
      <c r="C612" s="211"/>
      <c r="D612" s="211"/>
      <c r="E612" s="211"/>
      <c r="F612" s="211"/>
      <c r="G612" s="211"/>
      <c r="H612" s="211"/>
      <c r="I612" s="211"/>
    </row>
    <row r="613" spans="1:9" ht="15.75" thickBot="1" x14ac:dyDescent="0.3">
      <c r="A613" s="211"/>
      <c r="B613" s="211"/>
      <c r="C613" s="211"/>
      <c r="D613" s="211"/>
      <c r="E613" s="211"/>
      <c r="F613" s="211"/>
      <c r="G613" s="211"/>
      <c r="H613" s="211"/>
      <c r="I613" s="211"/>
    </row>
    <row r="614" spans="1:9" ht="15.75" thickBot="1" x14ac:dyDescent="0.3">
      <c r="A614" s="211"/>
      <c r="B614" s="211"/>
      <c r="C614" s="211"/>
      <c r="D614" s="211"/>
      <c r="E614" s="211"/>
      <c r="F614" s="211"/>
      <c r="G614" s="211"/>
      <c r="H614" s="211"/>
      <c r="I614" s="211"/>
    </row>
    <row r="615" spans="1:9" ht="15.75" thickBot="1" x14ac:dyDescent="0.3">
      <c r="A615" s="211"/>
      <c r="B615" s="211"/>
      <c r="C615" s="211"/>
      <c r="D615" s="211"/>
      <c r="E615" s="211"/>
      <c r="F615" s="211"/>
      <c r="G615" s="211"/>
      <c r="H615" s="211"/>
      <c r="I615" s="211"/>
    </row>
    <row r="616" spans="1:9" ht="15.75" thickBot="1" x14ac:dyDescent="0.3">
      <c r="A616" s="211"/>
      <c r="B616" s="211"/>
      <c r="C616" s="211"/>
      <c r="D616" s="211"/>
      <c r="E616" s="211"/>
      <c r="F616" s="211"/>
      <c r="G616" s="211"/>
      <c r="H616" s="211"/>
      <c r="I616" s="211"/>
    </row>
    <row r="617" spans="1:9" ht="15.75" thickBot="1" x14ac:dyDescent="0.3">
      <c r="A617" s="211"/>
      <c r="B617" s="211"/>
      <c r="C617" s="211"/>
      <c r="D617" s="211"/>
      <c r="E617" s="211"/>
      <c r="F617" s="211"/>
      <c r="G617" s="211"/>
      <c r="H617" s="211"/>
      <c r="I617" s="211"/>
    </row>
    <row r="618" spans="1:9" ht="15.75" thickBot="1" x14ac:dyDescent="0.3">
      <c r="A618" s="211"/>
      <c r="B618" s="211"/>
      <c r="C618" s="211"/>
      <c r="D618" s="211"/>
      <c r="E618" s="211"/>
      <c r="F618" s="211"/>
      <c r="G618" s="211"/>
      <c r="H618" s="211"/>
      <c r="I618" s="211"/>
    </row>
    <row r="619" spans="1:9" ht="15.75" thickBot="1" x14ac:dyDescent="0.3">
      <c r="A619" s="211"/>
      <c r="B619" s="211"/>
      <c r="C619" s="211"/>
      <c r="D619" s="211"/>
      <c r="E619" s="211"/>
      <c r="F619" s="211"/>
      <c r="G619" s="211"/>
      <c r="H619" s="211"/>
      <c r="I619" s="211"/>
    </row>
    <row r="620" spans="1:9" ht="15.75" thickBot="1" x14ac:dyDescent="0.3">
      <c r="A620" s="211"/>
      <c r="B620" s="211"/>
      <c r="C620" s="211"/>
      <c r="D620" s="211"/>
      <c r="E620" s="211"/>
      <c r="F620" s="211"/>
      <c r="G620" s="211"/>
      <c r="H620" s="211"/>
      <c r="I620" s="211"/>
    </row>
    <row r="621" spans="1:9" ht="15.75" thickBot="1" x14ac:dyDescent="0.3">
      <c r="A621" s="211"/>
      <c r="B621" s="211"/>
      <c r="C621" s="211"/>
      <c r="D621" s="211"/>
      <c r="E621" s="211"/>
      <c r="F621" s="211"/>
      <c r="G621" s="211"/>
      <c r="H621" s="211"/>
      <c r="I621" s="211"/>
    </row>
    <row r="622" spans="1:9" ht="15.75" thickBot="1" x14ac:dyDescent="0.3">
      <c r="A622" s="211"/>
      <c r="B622" s="211"/>
      <c r="C622" s="211"/>
      <c r="D622" s="211"/>
      <c r="E622" s="211"/>
      <c r="F622" s="211"/>
      <c r="G622" s="211"/>
      <c r="H622" s="211"/>
      <c r="I622" s="211"/>
    </row>
    <row r="623" spans="1:9" ht="15.75" thickBot="1" x14ac:dyDescent="0.3">
      <c r="A623" s="211"/>
      <c r="B623" s="211"/>
      <c r="C623" s="211"/>
      <c r="D623" s="211"/>
      <c r="E623" s="211"/>
      <c r="F623" s="211"/>
      <c r="G623" s="211"/>
      <c r="H623" s="211"/>
      <c r="I623" s="211"/>
    </row>
    <row r="624" spans="1:9" ht="15.75" thickBot="1" x14ac:dyDescent="0.3">
      <c r="A624" s="211"/>
      <c r="B624" s="211"/>
      <c r="C624" s="211"/>
      <c r="D624" s="211"/>
      <c r="E624" s="211"/>
      <c r="F624" s="211"/>
      <c r="G624" s="211"/>
      <c r="H624" s="211"/>
      <c r="I624" s="211"/>
    </row>
    <row r="625" spans="1:9" ht="15.75" thickBot="1" x14ac:dyDescent="0.3">
      <c r="A625" s="211"/>
      <c r="B625" s="211"/>
      <c r="C625" s="211"/>
      <c r="D625" s="211"/>
      <c r="E625" s="211"/>
      <c r="F625" s="211"/>
      <c r="G625" s="211"/>
      <c r="H625" s="211"/>
      <c r="I625" s="211"/>
    </row>
    <row r="626" spans="1:9" ht="15.75" thickBot="1" x14ac:dyDescent="0.3">
      <c r="A626" s="211"/>
      <c r="B626" s="211"/>
      <c r="C626" s="211"/>
      <c r="D626" s="211"/>
      <c r="E626" s="211"/>
      <c r="F626" s="211"/>
      <c r="G626" s="211"/>
      <c r="H626" s="211"/>
      <c r="I626" s="211"/>
    </row>
    <row r="627" spans="1:9" ht="15.75" thickBot="1" x14ac:dyDescent="0.3">
      <c r="A627" s="211"/>
      <c r="B627" s="211"/>
      <c r="C627" s="211"/>
      <c r="D627" s="211"/>
      <c r="E627" s="211"/>
      <c r="F627" s="211"/>
      <c r="G627" s="211"/>
      <c r="H627" s="211"/>
      <c r="I627" s="211"/>
    </row>
    <row r="628" spans="1:9" ht="15.75" thickBot="1" x14ac:dyDescent="0.3">
      <c r="A628" s="211"/>
      <c r="B628" s="211"/>
      <c r="C628" s="211"/>
      <c r="D628" s="211"/>
      <c r="E628" s="211"/>
      <c r="F628" s="211"/>
      <c r="G628" s="211"/>
      <c r="H628" s="211"/>
      <c r="I628" s="211"/>
    </row>
    <row r="629" spans="1:9" ht="15.75" thickBot="1" x14ac:dyDescent="0.3">
      <c r="A629" s="211"/>
      <c r="B629" s="211"/>
      <c r="C629" s="211"/>
      <c r="D629" s="211"/>
      <c r="E629" s="211"/>
      <c r="F629" s="211"/>
      <c r="G629" s="211"/>
      <c r="H629" s="211"/>
      <c r="I629" s="211"/>
    </row>
    <row r="630" spans="1:9" ht="15.75" thickBot="1" x14ac:dyDescent="0.3">
      <c r="A630" s="211"/>
      <c r="B630" s="211"/>
      <c r="C630" s="211"/>
      <c r="D630" s="211"/>
      <c r="E630" s="211"/>
      <c r="F630" s="211"/>
      <c r="G630" s="211"/>
      <c r="H630" s="211"/>
      <c r="I630" s="211"/>
    </row>
    <row r="631" spans="1:9" ht="15.75" thickBot="1" x14ac:dyDescent="0.3">
      <c r="A631" s="211"/>
      <c r="B631" s="211"/>
      <c r="C631" s="211"/>
      <c r="D631" s="211"/>
      <c r="E631" s="211"/>
      <c r="F631" s="211"/>
      <c r="G631" s="211"/>
      <c r="H631" s="211"/>
      <c r="I631" s="211"/>
    </row>
    <row r="632" spans="1:9" ht="15.75" thickBot="1" x14ac:dyDescent="0.3">
      <c r="A632" s="211"/>
      <c r="B632" s="211"/>
      <c r="C632" s="211"/>
      <c r="D632" s="211"/>
      <c r="E632" s="211"/>
      <c r="F632" s="211"/>
      <c r="G632" s="211"/>
      <c r="H632" s="211"/>
      <c r="I632" s="211"/>
    </row>
    <row r="633" spans="1:9" ht="15.75" thickBot="1" x14ac:dyDescent="0.3">
      <c r="A633" s="211"/>
      <c r="B633" s="211"/>
      <c r="C633" s="211"/>
      <c r="D633" s="211"/>
      <c r="E633" s="211"/>
      <c r="F633" s="211"/>
      <c r="G633" s="211"/>
      <c r="H633" s="211"/>
      <c r="I633" s="211"/>
    </row>
    <row r="634" spans="1:9" ht="15.75" thickBot="1" x14ac:dyDescent="0.3">
      <c r="A634" s="211"/>
      <c r="B634" s="211"/>
      <c r="C634" s="211"/>
      <c r="D634" s="211"/>
      <c r="E634" s="211"/>
      <c r="F634" s="211"/>
      <c r="G634" s="211"/>
      <c r="H634" s="211"/>
      <c r="I634" s="211"/>
    </row>
    <row r="635" spans="1:9" ht="15.75" thickBot="1" x14ac:dyDescent="0.3">
      <c r="A635" s="211"/>
      <c r="B635" s="211"/>
      <c r="C635" s="211"/>
      <c r="D635" s="211"/>
      <c r="E635" s="211"/>
      <c r="F635" s="211"/>
      <c r="G635" s="211"/>
      <c r="H635" s="211"/>
      <c r="I635" s="211"/>
    </row>
    <row r="636" spans="1:9" ht="15.75" thickBot="1" x14ac:dyDescent="0.3">
      <c r="A636" s="211"/>
      <c r="B636" s="211"/>
      <c r="C636" s="211"/>
      <c r="D636" s="211"/>
      <c r="E636" s="211"/>
      <c r="F636" s="211"/>
      <c r="G636" s="211"/>
      <c r="H636" s="211"/>
      <c r="I636" s="211"/>
    </row>
    <row r="637" spans="1:9" ht="15.75" thickBot="1" x14ac:dyDescent="0.3">
      <c r="A637" s="211"/>
      <c r="B637" s="211"/>
      <c r="C637" s="211"/>
      <c r="D637" s="211"/>
      <c r="E637" s="211"/>
      <c r="F637" s="211"/>
      <c r="G637" s="211"/>
      <c r="H637" s="211"/>
      <c r="I637" s="211"/>
    </row>
    <row r="638" spans="1:9" ht="15.75" thickBot="1" x14ac:dyDescent="0.3">
      <c r="A638" s="211"/>
      <c r="B638" s="211"/>
      <c r="C638" s="211"/>
      <c r="D638" s="211"/>
      <c r="E638" s="211"/>
      <c r="F638" s="211"/>
      <c r="G638" s="211"/>
      <c r="H638" s="211"/>
      <c r="I638" s="211"/>
    </row>
    <row r="639" spans="1:9" ht="15.75" thickBot="1" x14ac:dyDescent="0.3">
      <c r="A639" s="211"/>
      <c r="B639" s="211"/>
      <c r="C639" s="211"/>
      <c r="D639" s="211"/>
      <c r="E639" s="211"/>
      <c r="F639" s="211"/>
      <c r="G639" s="211"/>
      <c r="H639" s="211"/>
      <c r="I639" s="211"/>
    </row>
    <row r="640" spans="1:9" ht="15.75" thickBot="1" x14ac:dyDescent="0.3">
      <c r="A640" s="211"/>
      <c r="B640" s="211"/>
      <c r="C640" s="211"/>
      <c r="D640" s="211"/>
      <c r="E640" s="211"/>
      <c r="F640" s="211"/>
      <c r="G640" s="211"/>
      <c r="H640" s="211"/>
      <c r="I640" s="211"/>
    </row>
    <row r="641" spans="1:9" ht="15.75" thickBot="1" x14ac:dyDescent="0.3">
      <c r="A641" s="211"/>
      <c r="B641" s="211"/>
      <c r="C641" s="211"/>
      <c r="D641" s="211"/>
      <c r="E641" s="211"/>
      <c r="F641" s="211"/>
      <c r="G641" s="211"/>
      <c r="H641" s="211"/>
      <c r="I641" s="211"/>
    </row>
    <row r="642" spans="1:9" ht="15.75" thickBot="1" x14ac:dyDescent="0.3">
      <c r="A642" s="211"/>
      <c r="B642" s="211"/>
      <c r="C642" s="211"/>
      <c r="D642" s="211"/>
      <c r="E642" s="211"/>
      <c r="F642" s="211"/>
      <c r="G642" s="211"/>
      <c r="H642" s="211"/>
      <c r="I642" s="211"/>
    </row>
    <row r="643" spans="1:9" ht="15.75" thickBot="1" x14ac:dyDescent="0.3">
      <c r="A643" s="211"/>
      <c r="B643" s="211"/>
      <c r="C643" s="211"/>
      <c r="D643" s="211"/>
      <c r="E643" s="211"/>
      <c r="F643" s="211"/>
      <c r="G643" s="211"/>
      <c r="H643" s="211"/>
      <c r="I643" s="211"/>
    </row>
    <row r="644" spans="1:9" ht="15.75" thickBot="1" x14ac:dyDescent="0.3">
      <c r="A644" s="211"/>
      <c r="B644" s="211"/>
      <c r="C644" s="211"/>
      <c r="D644" s="211"/>
      <c r="E644" s="211"/>
      <c r="F644" s="211"/>
      <c r="G644" s="211"/>
      <c r="H644" s="211"/>
      <c r="I644" s="211"/>
    </row>
    <row r="645" spans="1:9" ht="15.75" thickBot="1" x14ac:dyDescent="0.3">
      <c r="A645" s="211"/>
      <c r="B645" s="211"/>
      <c r="C645" s="211"/>
      <c r="D645" s="211"/>
      <c r="E645" s="211"/>
      <c r="F645" s="211"/>
      <c r="G645" s="211"/>
      <c r="H645" s="211"/>
      <c r="I645" s="211"/>
    </row>
    <row r="646" spans="1:9" ht="15.75" thickBot="1" x14ac:dyDescent="0.3">
      <c r="A646" s="211"/>
      <c r="B646" s="211"/>
      <c r="C646" s="211"/>
      <c r="D646" s="211"/>
      <c r="E646" s="211"/>
      <c r="F646" s="211"/>
      <c r="G646" s="211"/>
      <c r="H646" s="211"/>
      <c r="I646" s="211"/>
    </row>
    <row r="647" spans="1:9" ht="15.75" thickBot="1" x14ac:dyDescent="0.3">
      <c r="A647" s="211"/>
      <c r="B647" s="211"/>
      <c r="C647" s="211"/>
      <c r="D647" s="211"/>
      <c r="E647" s="211"/>
      <c r="F647" s="211"/>
      <c r="G647" s="211"/>
      <c r="H647" s="211"/>
      <c r="I647" s="211"/>
    </row>
    <row r="648" spans="1:9" ht="15.75" thickBot="1" x14ac:dyDescent="0.3">
      <c r="A648" s="211"/>
      <c r="B648" s="211"/>
      <c r="C648" s="211"/>
      <c r="D648" s="211"/>
      <c r="E648" s="211"/>
      <c r="F648" s="211"/>
      <c r="G648" s="211"/>
      <c r="H648" s="211"/>
      <c r="I648" s="211"/>
    </row>
    <row r="649" spans="1:9" ht="15.75" thickBot="1" x14ac:dyDescent="0.3">
      <c r="A649" s="211"/>
      <c r="B649" s="211"/>
      <c r="C649" s="211"/>
      <c r="D649" s="211"/>
      <c r="E649" s="211"/>
      <c r="F649" s="211"/>
      <c r="G649" s="211"/>
      <c r="H649" s="211"/>
      <c r="I649" s="211"/>
    </row>
    <row r="650" spans="1:9" ht="15.75" thickBot="1" x14ac:dyDescent="0.3">
      <c r="A650" s="211"/>
      <c r="B650" s="211"/>
      <c r="C650" s="211"/>
      <c r="D650" s="211"/>
      <c r="E650" s="211"/>
      <c r="F650" s="211"/>
      <c r="G650" s="211"/>
      <c r="H650" s="211"/>
      <c r="I650" s="211"/>
    </row>
    <row r="651" spans="1:9" ht="15.75" thickBot="1" x14ac:dyDescent="0.3">
      <c r="A651" s="211"/>
      <c r="B651" s="211"/>
      <c r="C651" s="211"/>
      <c r="D651" s="211"/>
      <c r="E651" s="211"/>
      <c r="F651" s="211"/>
      <c r="G651" s="211"/>
      <c r="H651" s="211"/>
      <c r="I651" s="211"/>
    </row>
    <row r="652" spans="1:9" ht="15.75" thickBot="1" x14ac:dyDescent="0.3">
      <c r="A652" s="211"/>
      <c r="B652" s="211"/>
      <c r="C652" s="211"/>
      <c r="D652" s="211"/>
      <c r="E652" s="211"/>
      <c r="F652" s="211"/>
      <c r="G652" s="211"/>
      <c r="H652" s="211"/>
      <c r="I652" s="211"/>
    </row>
    <row r="653" spans="1:9" ht="15.75" thickBot="1" x14ac:dyDescent="0.3">
      <c r="A653" s="211"/>
      <c r="B653" s="211"/>
      <c r="C653" s="211"/>
      <c r="D653" s="211"/>
      <c r="E653" s="211"/>
      <c r="F653" s="211"/>
      <c r="G653" s="211"/>
      <c r="H653" s="211"/>
      <c r="I653" s="211"/>
    </row>
    <row r="654" spans="1:9" ht="15.75" thickBot="1" x14ac:dyDescent="0.3">
      <c r="A654" s="211"/>
      <c r="B654" s="211"/>
      <c r="C654" s="211"/>
      <c r="D654" s="211"/>
      <c r="E654" s="211"/>
      <c r="F654" s="211"/>
      <c r="G654" s="211"/>
      <c r="H654" s="211"/>
      <c r="I654" s="211"/>
    </row>
    <row r="655" spans="1:9" ht="15.75" thickBot="1" x14ac:dyDescent="0.3">
      <c r="A655" s="211"/>
      <c r="B655" s="211"/>
      <c r="C655" s="211"/>
      <c r="D655" s="211"/>
      <c r="E655" s="211"/>
      <c r="F655" s="211"/>
      <c r="G655" s="211"/>
      <c r="H655" s="211"/>
      <c r="I655" s="211"/>
    </row>
    <row r="656" spans="1:9" ht="15.75" thickBot="1" x14ac:dyDescent="0.3">
      <c r="A656" s="211"/>
      <c r="B656" s="211"/>
      <c r="C656" s="211"/>
      <c r="D656" s="211"/>
      <c r="E656" s="211"/>
      <c r="F656" s="211"/>
      <c r="G656" s="211"/>
      <c r="H656" s="211"/>
      <c r="I656" s="211"/>
    </row>
    <row r="657" spans="1:9" ht="15.75" thickBot="1" x14ac:dyDescent="0.3">
      <c r="A657" s="211"/>
      <c r="B657" s="211"/>
      <c r="C657" s="211"/>
      <c r="D657" s="211"/>
      <c r="E657" s="211"/>
      <c r="F657" s="211"/>
      <c r="G657" s="211"/>
      <c r="H657" s="211"/>
      <c r="I657" s="211"/>
    </row>
    <row r="658" spans="1:9" ht="15.75" thickBot="1" x14ac:dyDescent="0.3">
      <c r="A658" s="211"/>
      <c r="B658" s="211"/>
      <c r="C658" s="211"/>
      <c r="D658" s="211"/>
      <c r="E658" s="211"/>
      <c r="F658" s="211"/>
      <c r="G658" s="211"/>
      <c r="H658" s="211"/>
      <c r="I658" s="211"/>
    </row>
    <row r="659" spans="1:9" ht="15.75" thickBot="1" x14ac:dyDescent="0.3">
      <c r="A659" s="211"/>
      <c r="B659" s="211"/>
      <c r="C659" s="211"/>
      <c r="D659" s="211"/>
      <c r="E659" s="211"/>
      <c r="F659" s="211"/>
      <c r="G659" s="211"/>
      <c r="H659" s="211"/>
      <c r="I659" s="211"/>
    </row>
    <row r="660" spans="1:9" ht="15.75" thickBot="1" x14ac:dyDescent="0.3">
      <c r="A660" s="211"/>
      <c r="B660" s="211"/>
      <c r="C660" s="211"/>
      <c r="D660" s="211"/>
      <c r="E660" s="211"/>
      <c r="F660" s="211"/>
      <c r="G660" s="211"/>
      <c r="H660" s="211"/>
      <c r="I660" s="211"/>
    </row>
    <row r="661" spans="1:9" ht="15.75" thickBot="1" x14ac:dyDescent="0.3">
      <c r="A661" s="211"/>
      <c r="B661" s="211"/>
      <c r="C661" s="211"/>
      <c r="D661" s="211"/>
      <c r="E661" s="211"/>
      <c r="F661" s="211"/>
      <c r="G661" s="211"/>
      <c r="H661" s="211"/>
      <c r="I661" s="211"/>
    </row>
    <row r="662" spans="1:9" ht="15.75" thickBot="1" x14ac:dyDescent="0.3">
      <c r="A662" s="211"/>
      <c r="B662" s="211"/>
      <c r="C662" s="211"/>
      <c r="D662" s="211"/>
      <c r="E662" s="211"/>
      <c r="F662" s="211"/>
      <c r="G662" s="211"/>
      <c r="H662" s="211"/>
      <c r="I662" s="211"/>
    </row>
    <row r="663" spans="1:9" ht="15.75" thickBot="1" x14ac:dyDescent="0.3">
      <c r="A663" s="211"/>
      <c r="B663" s="211"/>
      <c r="C663" s="211"/>
      <c r="D663" s="211"/>
      <c r="E663" s="211"/>
      <c r="F663" s="211"/>
      <c r="G663" s="211"/>
      <c r="H663" s="211"/>
      <c r="I663" s="211"/>
    </row>
    <row r="664" spans="1:9" ht="15.75" thickBot="1" x14ac:dyDescent="0.3">
      <c r="A664" s="211"/>
      <c r="B664" s="211"/>
      <c r="C664" s="211"/>
      <c r="D664" s="211"/>
      <c r="E664" s="211"/>
      <c r="F664" s="211"/>
      <c r="G664" s="211"/>
      <c r="H664" s="211"/>
      <c r="I664" s="211"/>
    </row>
    <row r="665" spans="1:9" ht="15.75" thickBot="1" x14ac:dyDescent="0.3">
      <c r="A665" s="211"/>
      <c r="B665" s="211"/>
      <c r="C665" s="211"/>
      <c r="D665" s="211"/>
      <c r="E665" s="211"/>
      <c r="F665" s="211"/>
      <c r="G665" s="211"/>
      <c r="H665" s="211"/>
      <c r="I665" s="211"/>
    </row>
    <row r="666" spans="1:9" ht="15.75" thickBot="1" x14ac:dyDescent="0.3">
      <c r="A666" s="211"/>
      <c r="B666" s="211"/>
      <c r="C666" s="211"/>
      <c r="D666" s="211"/>
      <c r="E666" s="211"/>
      <c r="F666" s="211"/>
      <c r="G666" s="211"/>
      <c r="H666" s="211"/>
      <c r="I666" s="211"/>
    </row>
    <row r="667" spans="1:9" ht="15.75" thickBot="1" x14ac:dyDescent="0.3">
      <c r="A667" s="211"/>
      <c r="B667" s="211"/>
      <c r="C667" s="211"/>
      <c r="D667" s="211"/>
      <c r="E667" s="211"/>
      <c r="F667" s="211"/>
      <c r="G667" s="211"/>
      <c r="H667" s="211"/>
      <c r="I667" s="211"/>
    </row>
    <row r="668" spans="1:9" ht="15.75" thickBot="1" x14ac:dyDescent="0.3">
      <c r="A668" s="211"/>
      <c r="B668" s="211"/>
      <c r="C668" s="211"/>
      <c r="D668" s="211"/>
      <c r="E668" s="211"/>
      <c r="F668" s="211"/>
      <c r="G668" s="211"/>
      <c r="H668" s="211"/>
      <c r="I668" s="211"/>
    </row>
    <row r="669" spans="1:9" ht="15.75" thickBot="1" x14ac:dyDescent="0.3">
      <c r="A669" s="211"/>
      <c r="B669" s="211"/>
      <c r="C669" s="211"/>
      <c r="D669" s="211"/>
      <c r="E669" s="211"/>
      <c r="F669" s="211"/>
      <c r="G669" s="211"/>
      <c r="H669" s="211"/>
      <c r="I669" s="211"/>
    </row>
    <row r="670" spans="1:9" ht="15.75" thickBot="1" x14ac:dyDescent="0.3">
      <c r="A670" s="211"/>
      <c r="B670" s="211"/>
      <c r="C670" s="211"/>
      <c r="D670" s="211"/>
      <c r="E670" s="211"/>
      <c r="F670" s="211"/>
      <c r="G670" s="211"/>
      <c r="H670" s="211"/>
      <c r="I670" s="211"/>
    </row>
    <row r="671" spans="1:9" ht="15.75" thickBot="1" x14ac:dyDescent="0.3">
      <c r="A671" s="211"/>
      <c r="B671" s="211"/>
      <c r="C671" s="211"/>
      <c r="D671" s="211"/>
      <c r="E671" s="211"/>
      <c r="F671" s="211"/>
      <c r="G671" s="211"/>
      <c r="H671" s="211"/>
      <c r="I671" s="211"/>
    </row>
    <row r="672" spans="1:9" ht="15.75" thickBot="1" x14ac:dyDescent="0.3">
      <c r="A672" s="211"/>
      <c r="B672" s="211"/>
      <c r="C672" s="211"/>
      <c r="D672" s="211"/>
      <c r="E672" s="211"/>
      <c r="F672" s="211"/>
      <c r="G672" s="211"/>
      <c r="H672" s="211"/>
      <c r="I672" s="211"/>
    </row>
    <row r="673" spans="1:9" ht="15.75" thickBot="1" x14ac:dyDescent="0.3">
      <c r="A673" s="211"/>
      <c r="B673" s="211"/>
      <c r="C673" s="211"/>
      <c r="D673" s="211"/>
      <c r="E673" s="211"/>
      <c r="F673" s="211"/>
      <c r="G673" s="211"/>
      <c r="H673" s="211"/>
      <c r="I673" s="211"/>
    </row>
    <row r="674" spans="1:9" ht="15.75" thickBot="1" x14ac:dyDescent="0.3">
      <c r="A674" s="211"/>
      <c r="B674" s="211"/>
      <c r="C674" s="211"/>
      <c r="D674" s="211"/>
      <c r="E674" s="211"/>
      <c r="F674" s="211"/>
      <c r="G674" s="211"/>
      <c r="H674" s="211"/>
      <c r="I674" s="211"/>
    </row>
    <row r="675" spans="1:9" ht="15.75" thickBot="1" x14ac:dyDescent="0.3">
      <c r="A675" s="211"/>
      <c r="B675" s="211"/>
      <c r="C675" s="211"/>
      <c r="D675" s="211"/>
      <c r="E675" s="211"/>
      <c r="F675" s="211"/>
      <c r="G675" s="211"/>
      <c r="H675" s="211"/>
      <c r="I675" s="211"/>
    </row>
    <row r="676" spans="1:9" ht="15.75" thickBot="1" x14ac:dyDescent="0.3">
      <c r="A676" s="211"/>
      <c r="B676" s="211"/>
      <c r="C676" s="211"/>
      <c r="D676" s="211"/>
      <c r="E676" s="211"/>
      <c r="F676" s="211"/>
      <c r="G676" s="211"/>
      <c r="H676" s="211"/>
      <c r="I676" s="211"/>
    </row>
    <row r="677" spans="1:9" ht="15.75" thickBot="1" x14ac:dyDescent="0.3">
      <c r="A677" s="211"/>
      <c r="B677" s="211"/>
      <c r="C677" s="211"/>
      <c r="D677" s="211"/>
      <c r="E677" s="211"/>
      <c r="F677" s="211"/>
      <c r="G677" s="211"/>
      <c r="H677" s="211"/>
      <c r="I677" s="211"/>
    </row>
    <row r="678" spans="1:9" ht="15.75" thickBot="1" x14ac:dyDescent="0.3">
      <c r="A678" s="211"/>
      <c r="B678" s="211"/>
      <c r="C678" s="211"/>
      <c r="D678" s="211"/>
      <c r="E678" s="211"/>
      <c r="F678" s="211"/>
      <c r="G678" s="211"/>
      <c r="H678" s="211"/>
      <c r="I678" s="211"/>
    </row>
    <row r="679" spans="1:9" ht="15.75" thickBot="1" x14ac:dyDescent="0.3">
      <c r="A679" s="211"/>
      <c r="B679" s="211"/>
      <c r="C679" s="211"/>
      <c r="D679" s="211"/>
      <c r="E679" s="211"/>
      <c r="F679" s="211"/>
      <c r="G679" s="211"/>
      <c r="H679" s="211"/>
      <c r="I679" s="211"/>
    </row>
    <row r="680" spans="1:9" ht="15.75" thickBot="1" x14ac:dyDescent="0.3">
      <c r="A680" s="211"/>
      <c r="B680" s="211"/>
      <c r="C680" s="211"/>
      <c r="D680" s="211"/>
      <c r="E680" s="211"/>
      <c r="F680" s="211"/>
      <c r="G680" s="211"/>
      <c r="H680" s="211"/>
      <c r="I680" s="211"/>
    </row>
    <row r="681" spans="1:9" ht="15.75" thickBot="1" x14ac:dyDescent="0.3">
      <c r="A681" s="211"/>
      <c r="B681" s="211"/>
      <c r="C681" s="211"/>
      <c r="D681" s="211"/>
      <c r="E681" s="211"/>
      <c r="F681" s="211"/>
      <c r="G681" s="211"/>
      <c r="H681" s="211"/>
      <c r="I681" s="211"/>
    </row>
    <row r="682" spans="1:9" ht="15.75" thickBot="1" x14ac:dyDescent="0.3">
      <c r="A682" s="211"/>
      <c r="B682" s="211"/>
      <c r="C682" s="211"/>
      <c r="D682" s="211"/>
      <c r="E682" s="211"/>
      <c r="F682" s="211"/>
      <c r="G682" s="211"/>
      <c r="H682" s="211"/>
      <c r="I682" s="211"/>
    </row>
    <row r="683" spans="1:9" ht="15.75" thickBot="1" x14ac:dyDescent="0.3">
      <c r="A683" s="211"/>
      <c r="B683" s="211"/>
      <c r="C683" s="211"/>
      <c r="D683" s="211"/>
      <c r="E683" s="211"/>
      <c r="F683" s="211"/>
      <c r="G683" s="211"/>
      <c r="H683" s="211"/>
      <c r="I683" s="211"/>
    </row>
    <row r="684" spans="1:9" ht="15.75" thickBot="1" x14ac:dyDescent="0.3">
      <c r="A684" s="211"/>
      <c r="B684" s="211"/>
      <c r="C684" s="211"/>
      <c r="D684" s="211"/>
      <c r="E684" s="211"/>
      <c r="F684" s="211"/>
      <c r="G684" s="211"/>
      <c r="H684" s="211"/>
      <c r="I684" s="211"/>
    </row>
    <row r="685" spans="1:9" ht="15.75" thickBot="1" x14ac:dyDescent="0.3">
      <c r="A685" s="211"/>
      <c r="B685" s="211"/>
      <c r="C685" s="211"/>
      <c r="D685" s="211"/>
      <c r="E685" s="211"/>
      <c r="F685" s="211"/>
      <c r="G685" s="211"/>
      <c r="H685" s="211"/>
      <c r="I685" s="211"/>
    </row>
    <row r="686" spans="1:9" ht="15.75" thickBot="1" x14ac:dyDescent="0.3">
      <c r="A686" s="211"/>
      <c r="B686" s="211"/>
      <c r="C686" s="211"/>
      <c r="D686" s="211"/>
      <c r="E686" s="211"/>
      <c r="F686" s="211"/>
      <c r="G686" s="211"/>
      <c r="H686" s="211"/>
      <c r="I686" s="211"/>
    </row>
    <row r="687" spans="1:9" ht="15.75" thickBot="1" x14ac:dyDescent="0.3">
      <c r="A687" s="211"/>
      <c r="B687" s="211"/>
      <c r="C687" s="211"/>
      <c r="D687" s="211"/>
      <c r="E687" s="211"/>
      <c r="F687" s="211"/>
      <c r="G687" s="211"/>
      <c r="H687" s="211"/>
      <c r="I687" s="211"/>
    </row>
    <row r="688" spans="1:9" ht="15.75" thickBot="1" x14ac:dyDescent="0.3">
      <c r="A688" s="211"/>
      <c r="B688" s="211"/>
      <c r="C688" s="211"/>
      <c r="D688" s="211"/>
      <c r="E688" s="211"/>
      <c r="F688" s="211"/>
      <c r="G688" s="211"/>
      <c r="H688" s="211"/>
      <c r="I688" s="211"/>
    </row>
    <row r="689" spans="1:9" ht="15.75" thickBot="1" x14ac:dyDescent="0.3">
      <c r="A689" s="211"/>
      <c r="B689" s="211"/>
      <c r="C689" s="211"/>
      <c r="D689" s="211"/>
      <c r="E689" s="211"/>
      <c r="F689" s="211"/>
      <c r="G689" s="211"/>
      <c r="H689" s="211"/>
      <c r="I689" s="211"/>
    </row>
    <row r="690" spans="1:9" ht="15.75" thickBot="1" x14ac:dyDescent="0.3">
      <c r="A690" s="211"/>
      <c r="B690" s="211"/>
      <c r="C690" s="211"/>
      <c r="D690" s="211"/>
      <c r="E690" s="211"/>
      <c r="F690" s="211"/>
      <c r="G690" s="211"/>
      <c r="H690" s="211"/>
      <c r="I690" s="211"/>
    </row>
    <row r="691" spans="1:9" ht="15.75" thickBot="1" x14ac:dyDescent="0.3">
      <c r="A691" s="211"/>
      <c r="B691" s="211"/>
      <c r="C691" s="211"/>
      <c r="D691" s="211"/>
      <c r="E691" s="211"/>
      <c r="F691" s="211"/>
      <c r="G691" s="211"/>
      <c r="H691" s="211"/>
      <c r="I691" s="211"/>
    </row>
    <row r="692" spans="1:9" ht="15.75" thickBot="1" x14ac:dyDescent="0.3">
      <c r="A692" s="211"/>
      <c r="B692" s="211"/>
      <c r="C692" s="211"/>
      <c r="D692" s="211"/>
      <c r="E692" s="211"/>
      <c r="F692" s="211"/>
      <c r="G692" s="211"/>
      <c r="H692" s="211"/>
      <c r="I692" s="211"/>
    </row>
    <row r="693" spans="1:9" ht="15.75" thickBot="1" x14ac:dyDescent="0.3">
      <c r="A693" s="211"/>
      <c r="B693" s="211"/>
      <c r="C693" s="211"/>
      <c r="D693" s="211"/>
      <c r="E693" s="211"/>
      <c r="F693" s="211"/>
      <c r="G693" s="211"/>
      <c r="H693" s="211"/>
      <c r="I693" s="211"/>
    </row>
    <row r="694" spans="1:9" ht="15.75" thickBot="1" x14ac:dyDescent="0.3">
      <c r="A694" s="211"/>
      <c r="B694" s="211"/>
      <c r="C694" s="211"/>
      <c r="D694" s="211"/>
      <c r="E694" s="211"/>
      <c r="F694" s="211"/>
      <c r="G694" s="211"/>
      <c r="H694" s="211"/>
      <c r="I694" s="211"/>
    </row>
    <row r="695" spans="1:9" ht="15.75" thickBot="1" x14ac:dyDescent="0.3">
      <c r="A695" s="211"/>
      <c r="B695" s="211"/>
      <c r="C695" s="211"/>
      <c r="D695" s="211"/>
      <c r="E695" s="211"/>
      <c r="F695" s="211"/>
      <c r="G695" s="211"/>
      <c r="H695" s="211"/>
      <c r="I695" s="211"/>
    </row>
    <row r="696" spans="1:9" ht="15.75" thickBot="1" x14ac:dyDescent="0.3">
      <c r="A696" s="211"/>
      <c r="B696" s="211"/>
      <c r="C696" s="211"/>
      <c r="D696" s="211"/>
      <c r="E696" s="211"/>
      <c r="F696" s="211"/>
      <c r="G696" s="211"/>
      <c r="H696" s="211"/>
      <c r="I696" s="211"/>
    </row>
    <row r="697" spans="1:9" ht="15.75" thickBot="1" x14ac:dyDescent="0.3">
      <c r="A697" s="211"/>
      <c r="B697" s="211"/>
      <c r="C697" s="211"/>
      <c r="D697" s="211"/>
      <c r="E697" s="211"/>
      <c r="F697" s="211"/>
      <c r="G697" s="211"/>
      <c r="H697" s="211"/>
      <c r="I697" s="211"/>
    </row>
    <row r="698" spans="1:9" ht="15.75" thickBot="1" x14ac:dyDescent="0.3">
      <c r="A698" s="211"/>
      <c r="B698" s="211"/>
      <c r="C698" s="211"/>
      <c r="D698" s="211"/>
      <c r="E698" s="211"/>
      <c r="F698" s="211"/>
      <c r="G698" s="211"/>
      <c r="H698" s="211"/>
      <c r="I698" s="211"/>
    </row>
    <row r="699" spans="1:9" ht="15.75" thickBot="1" x14ac:dyDescent="0.3">
      <c r="A699" s="211"/>
      <c r="B699" s="211"/>
      <c r="C699" s="211"/>
      <c r="D699" s="211"/>
      <c r="E699" s="211"/>
      <c r="F699" s="211"/>
      <c r="G699" s="211"/>
      <c r="H699" s="211"/>
      <c r="I699" s="211"/>
    </row>
    <row r="700" spans="1:9" ht="15.75" thickBot="1" x14ac:dyDescent="0.3">
      <c r="A700" s="211"/>
      <c r="B700" s="211"/>
      <c r="C700" s="211"/>
      <c r="D700" s="211"/>
      <c r="E700" s="211"/>
      <c r="F700" s="211"/>
      <c r="G700" s="211"/>
      <c r="H700" s="211"/>
      <c r="I700" s="211"/>
    </row>
    <row r="701" spans="1:9" ht="15.75" thickBot="1" x14ac:dyDescent="0.3">
      <c r="A701" s="211"/>
      <c r="B701" s="211"/>
      <c r="C701" s="211"/>
      <c r="D701" s="211"/>
      <c r="E701" s="211"/>
      <c r="F701" s="211"/>
      <c r="G701" s="211"/>
      <c r="H701" s="211"/>
      <c r="I701" s="211"/>
    </row>
    <row r="702" spans="1:9" ht="15.75" thickBot="1" x14ac:dyDescent="0.3">
      <c r="A702" s="211"/>
      <c r="B702" s="211"/>
      <c r="C702" s="211"/>
      <c r="D702" s="211"/>
      <c r="E702" s="211"/>
      <c r="F702" s="211"/>
      <c r="G702" s="211"/>
      <c r="H702" s="211"/>
      <c r="I702" s="211"/>
    </row>
    <row r="703" spans="1:9" ht="15.75" thickBot="1" x14ac:dyDescent="0.3">
      <c r="A703" s="211"/>
      <c r="B703" s="211"/>
      <c r="C703" s="211"/>
      <c r="D703" s="211"/>
      <c r="E703" s="211"/>
      <c r="F703" s="211"/>
      <c r="G703" s="211"/>
      <c r="H703" s="211"/>
      <c r="I703" s="211"/>
    </row>
    <row r="704" spans="1:9" ht="15.75" thickBot="1" x14ac:dyDescent="0.3">
      <c r="A704" s="211"/>
      <c r="B704" s="211"/>
      <c r="C704" s="211"/>
      <c r="D704" s="211"/>
      <c r="E704" s="211"/>
      <c r="F704" s="211"/>
      <c r="G704" s="211"/>
      <c r="H704" s="211"/>
      <c r="I704" s="211"/>
    </row>
    <row r="705" spans="1:9" ht="15.75" thickBot="1" x14ac:dyDescent="0.3">
      <c r="A705" s="211"/>
      <c r="B705" s="211"/>
      <c r="C705" s="211"/>
      <c r="D705" s="211"/>
      <c r="E705" s="211"/>
      <c r="F705" s="211"/>
      <c r="G705" s="211"/>
      <c r="H705" s="211"/>
      <c r="I705" s="211"/>
    </row>
    <row r="706" spans="1:9" ht="15.75" thickBot="1" x14ac:dyDescent="0.3">
      <c r="A706" s="211"/>
      <c r="B706" s="211"/>
      <c r="C706" s="211"/>
      <c r="D706" s="211"/>
      <c r="E706" s="211"/>
      <c r="F706" s="211"/>
      <c r="G706" s="211"/>
      <c r="H706" s="211"/>
      <c r="I706" s="211"/>
    </row>
    <row r="707" spans="1:9" ht="15.75" thickBot="1" x14ac:dyDescent="0.3">
      <c r="A707" s="211"/>
      <c r="B707" s="211"/>
      <c r="C707" s="211"/>
      <c r="D707" s="211"/>
      <c r="E707" s="211"/>
      <c r="F707" s="211"/>
      <c r="G707" s="211"/>
      <c r="H707" s="211"/>
      <c r="I707" s="211"/>
    </row>
    <row r="708" spans="1:9" ht="15.75" thickBot="1" x14ac:dyDescent="0.3">
      <c r="A708" s="211"/>
      <c r="B708" s="211"/>
      <c r="C708" s="211"/>
      <c r="D708" s="211"/>
      <c r="E708" s="211"/>
      <c r="F708" s="211"/>
      <c r="G708" s="211"/>
      <c r="H708" s="211"/>
      <c r="I708" s="211"/>
    </row>
    <row r="709" spans="1:9" ht="15.75" thickBot="1" x14ac:dyDescent="0.3">
      <c r="A709" s="211"/>
      <c r="B709" s="211"/>
      <c r="C709" s="211"/>
      <c r="D709" s="211"/>
      <c r="E709" s="211"/>
      <c r="F709" s="211"/>
      <c r="G709" s="211"/>
      <c r="H709" s="211"/>
      <c r="I709" s="211"/>
    </row>
    <row r="710" spans="1:9" ht="15.75" thickBot="1" x14ac:dyDescent="0.3">
      <c r="A710" s="211"/>
      <c r="B710" s="211"/>
      <c r="C710" s="211"/>
      <c r="D710" s="211"/>
      <c r="E710" s="211"/>
      <c r="F710" s="211"/>
      <c r="G710" s="211"/>
      <c r="H710" s="211"/>
      <c r="I710" s="211"/>
    </row>
    <row r="711" spans="1:9" ht="15.75" thickBot="1" x14ac:dyDescent="0.3">
      <c r="A711" s="211"/>
      <c r="B711" s="211"/>
      <c r="C711" s="211"/>
      <c r="D711" s="211"/>
      <c r="E711" s="211"/>
      <c r="F711" s="211"/>
      <c r="G711" s="211"/>
      <c r="H711" s="211"/>
      <c r="I711" s="211"/>
    </row>
    <row r="712" spans="1:9" ht="15.75" thickBot="1" x14ac:dyDescent="0.3">
      <c r="A712" s="211"/>
      <c r="B712" s="211"/>
      <c r="C712" s="211"/>
      <c r="D712" s="211"/>
      <c r="E712" s="211"/>
      <c r="F712" s="211"/>
      <c r="G712" s="211"/>
      <c r="H712" s="211"/>
      <c r="I712" s="211"/>
    </row>
    <row r="713" spans="1:9" ht="15.75" thickBot="1" x14ac:dyDescent="0.3">
      <c r="A713" s="211"/>
      <c r="B713" s="211"/>
      <c r="C713" s="211"/>
      <c r="D713" s="211"/>
      <c r="E713" s="211"/>
      <c r="F713" s="211"/>
      <c r="G713" s="211"/>
      <c r="H713" s="211"/>
      <c r="I713" s="211"/>
    </row>
    <row r="714" spans="1:9" ht="15.75" thickBot="1" x14ac:dyDescent="0.3">
      <c r="A714" s="211"/>
      <c r="B714" s="211"/>
      <c r="C714" s="211"/>
      <c r="D714" s="211"/>
      <c r="E714" s="211"/>
      <c r="F714" s="211"/>
      <c r="G714" s="211"/>
      <c r="H714" s="211"/>
      <c r="I714" s="211"/>
    </row>
    <row r="715" spans="1:9" ht="15.75" thickBot="1" x14ac:dyDescent="0.3">
      <c r="A715" s="211"/>
      <c r="B715" s="211"/>
      <c r="C715" s="211"/>
      <c r="D715" s="211"/>
      <c r="E715" s="211"/>
      <c r="F715" s="211"/>
      <c r="G715" s="211"/>
      <c r="H715" s="211"/>
      <c r="I715" s="211"/>
    </row>
    <row r="716" spans="1:9" ht="15.75" thickBot="1" x14ac:dyDescent="0.3">
      <c r="A716" s="211"/>
      <c r="B716" s="211"/>
      <c r="C716" s="211"/>
      <c r="D716" s="211"/>
      <c r="E716" s="211"/>
      <c r="F716" s="211"/>
      <c r="G716" s="211"/>
      <c r="H716" s="211"/>
      <c r="I716" s="211"/>
    </row>
    <row r="717" spans="1:9" ht="15.75" thickBot="1" x14ac:dyDescent="0.3">
      <c r="A717" s="211"/>
      <c r="B717" s="211"/>
      <c r="C717" s="211"/>
      <c r="D717" s="211"/>
      <c r="E717" s="211"/>
      <c r="F717" s="211"/>
      <c r="G717" s="211"/>
      <c r="H717" s="211"/>
      <c r="I717" s="211"/>
    </row>
    <row r="718" spans="1:9" ht="15.75" thickBot="1" x14ac:dyDescent="0.3">
      <c r="A718" s="211"/>
      <c r="B718" s="211"/>
      <c r="C718" s="211"/>
      <c r="D718" s="211"/>
      <c r="E718" s="211"/>
      <c r="F718" s="211"/>
      <c r="G718" s="211"/>
      <c r="H718" s="211"/>
      <c r="I718" s="211"/>
    </row>
    <row r="719" spans="1:9" ht="15.75" thickBot="1" x14ac:dyDescent="0.3">
      <c r="A719" s="211"/>
      <c r="B719" s="211"/>
      <c r="C719" s="211"/>
      <c r="D719" s="211"/>
      <c r="E719" s="211"/>
      <c r="F719" s="211"/>
      <c r="G719" s="211"/>
      <c r="H719" s="211"/>
      <c r="I719" s="211"/>
    </row>
    <row r="720" spans="1:9" ht="15.75" thickBot="1" x14ac:dyDescent="0.3">
      <c r="A720" s="211"/>
      <c r="B720" s="211"/>
      <c r="C720" s="211"/>
      <c r="D720" s="211"/>
      <c r="E720" s="211"/>
      <c r="F720" s="211"/>
      <c r="G720" s="211"/>
      <c r="H720" s="211"/>
      <c r="I720" s="211"/>
    </row>
    <row r="721" spans="1:9" ht="15.75" thickBot="1" x14ac:dyDescent="0.3">
      <c r="A721" s="211"/>
      <c r="B721" s="211"/>
      <c r="C721" s="211"/>
      <c r="D721" s="211"/>
      <c r="E721" s="211"/>
      <c r="F721" s="211"/>
      <c r="G721" s="211"/>
      <c r="H721" s="211"/>
      <c r="I721" s="211"/>
    </row>
    <row r="722" spans="1:9" ht="15.75" thickBot="1" x14ac:dyDescent="0.3">
      <c r="A722" s="211"/>
      <c r="B722" s="211"/>
      <c r="C722" s="211"/>
      <c r="D722" s="211"/>
      <c r="E722" s="211"/>
      <c r="F722" s="211"/>
      <c r="G722" s="211"/>
      <c r="H722" s="211"/>
      <c r="I722" s="211"/>
    </row>
    <row r="723" spans="1:9" ht="15.75" thickBot="1" x14ac:dyDescent="0.3">
      <c r="A723" s="211"/>
      <c r="B723" s="211"/>
      <c r="C723" s="211"/>
      <c r="D723" s="211"/>
      <c r="E723" s="211"/>
      <c r="F723" s="211"/>
      <c r="G723" s="211"/>
      <c r="H723" s="211"/>
      <c r="I723" s="211"/>
    </row>
    <row r="724" spans="1:9" ht="15.75" thickBot="1" x14ac:dyDescent="0.3">
      <c r="A724" s="211"/>
      <c r="B724" s="211"/>
      <c r="C724" s="211"/>
      <c r="D724" s="211"/>
      <c r="E724" s="211"/>
      <c r="F724" s="211"/>
      <c r="G724" s="211"/>
      <c r="H724" s="211"/>
      <c r="I724" s="211"/>
    </row>
    <row r="725" spans="1:9" ht="15.75" thickBot="1" x14ac:dyDescent="0.3">
      <c r="A725" s="211"/>
      <c r="B725" s="211"/>
      <c r="C725" s="211"/>
      <c r="D725" s="211"/>
      <c r="E725" s="211"/>
      <c r="F725" s="211"/>
      <c r="G725" s="211"/>
      <c r="H725" s="211"/>
      <c r="I725" s="211"/>
    </row>
    <row r="726" spans="1:9" ht="15.75" thickBot="1" x14ac:dyDescent="0.3">
      <c r="A726" s="211"/>
      <c r="B726" s="211"/>
      <c r="C726" s="211"/>
      <c r="D726" s="211"/>
      <c r="E726" s="211"/>
      <c r="F726" s="211"/>
      <c r="G726" s="211"/>
      <c r="H726" s="211"/>
      <c r="I726" s="211"/>
    </row>
    <row r="727" spans="1:9" ht="15.75" thickBot="1" x14ac:dyDescent="0.3">
      <c r="A727" s="211"/>
      <c r="B727" s="211"/>
      <c r="C727" s="211"/>
      <c r="D727" s="211"/>
      <c r="E727" s="211"/>
      <c r="F727" s="211"/>
      <c r="G727" s="211"/>
      <c r="H727" s="211"/>
      <c r="I727" s="211"/>
    </row>
    <row r="728" spans="1:9" ht="15.75" thickBot="1" x14ac:dyDescent="0.3">
      <c r="A728" s="211"/>
      <c r="B728" s="211"/>
      <c r="C728" s="211"/>
      <c r="D728" s="211"/>
      <c r="E728" s="211"/>
      <c r="F728" s="211"/>
      <c r="G728" s="211"/>
      <c r="H728" s="211"/>
      <c r="I728" s="211"/>
    </row>
    <row r="729" spans="1:9" ht="15.75" thickBot="1" x14ac:dyDescent="0.3">
      <c r="A729" s="211"/>
      <c r="B729" s="211"/>
      <c r="C729" s="211"/>
      <c r="D729" s="211"/>
      <c r="E729" s="211"/>
      <c r="F729" s="211"/>
      <c r="G729" s="211"/>
      <c r="H729" s="211"/>
      <c r="I729" s="211"/>
    </row>
    <row r="730" spans="1:9" ht="15.75" thickBot="1" x14ac:dyDescent="0.3">
      <c r="A730" s="211"/>
      <c r="B730" s="211"/>
      <c r="C730" s="211"/>
      <c r="D730" s="211"/>
      <c r="E730" s="211"/>
      <c r="F730" s="211"/>
      <c r="G730" s="211"/>
      <c r="H730" s="211"/>
      <c r="I730" s="211"/>
    </row>
    <row r="731" spans="1:9" ht="15.75" thickBot="1" x14ac:dyDescent="0.3">
      <c r="A731" s="211"/>
      <c r="B731" s="211"/>
      <c r="C731" s="211"/>
      <c r="D731" s="211"/>
      <c r="E731" s="211"/>
      <c r="F731" s="211"/>
      <c r="G731" s="211"/>
      <c r="H731" s="211"/>
      <c r="I731" s="211"/>
    </row>
    <row r="732" spans="1:9" ht="15.75" thickBot="1" x14ac:dyDescent="0.3">
      <c r="A732" s="211"/>
      <c r="B732" s="211"/>
      <c r="C732" s="211"/>
      <c r="D732" s="211"/>
      <c r="E732" s="211"/>
      <c r="F732" s="211"/>
      <c r="G732" s="211"/>
      <c r="H732" s="211"/>
      <c r="I732" s="211"/>
    </row>
    <row r="733" spans="1:9" ht="15.75" thickBot="1" x14ac:dyDescent="0.3">
      <c r="A733" s="211"/>
      <c r="B733" s="211"/>
      <c r="C733" s="211"/>
      <c r="D733" s="211"/>
      <c r="E733" s="211"/>
      <c r="F733" s="211"/>
      <c r="G733" s="211"/>
      <c r="H733" s="211"/>
      <c r="I733" s="211"/>
    </row>
    <row r="734" spans="1:9" ht="15.75" thickBot="1" x14ac:dyDescent="0.3">
      <c r="A734" s="211"/>
      <c r="B734" s="211"/>
      <c r="C734" s="211"/>
      <c r="D734" s="211"/>
      <c r="E734" s="211"/>
      <c r="F734" s="211"/>
      <c r="G734" s="211"/>
      <c r="H734" s="211"/>
      <c r="I734" s="211"/>
    </row>
    <row r="735" spans="1:9" ht="15.75" thickBot="1" x14ac:dyDescent="0.3">
      <c r="A735" s="211"/>
      <c r="B735" s="211"/>
      <c r="C735" s="211"/>
      <c r="D735" s="211"/>
      <c r="E735" s="211"/>
      <c r="F735" s="211"/>
      <c r="G735" s="211"/>
      <c r="H735" s="211"/>
      <c r="I735" s="211"/>
    </row>
    <row r="736" spans="1:9" ht="15.75" thickBot="1" x14ac:dyDescent="0.3">
      <c r="A736" s="211"/>
      <c r="B736" s="211"/>
      <c r="C736" s="211"/>
      <c r="D736" s="211"/>
      <c r="E736" s="211"/>
      <c r="F736" s="211"/>
      <c r="G736" s="211"/>
      <c r="H736" s="211"/>
      <c r="I736" s="211"/>
    </row>
    <row r="737" spans="1:9" ht="15.75" thickBot="1" x14ac:dyDescent="0.3">
      <c r="A737" s="211"/>
      <c r="B737" s="211"/>
      <c r="C737" s="211"/>
      <c r="D737" s="211"/>
      <c r="E737" s="211"/>
      <c r="F737" s="211"/>
      <c r="G737" s="211"/>
      <c r="H737" s="211"/>
      <c r="I737" s="211"/>
    </row>
    <row r="738" spans="1:9" ht="15.75" thickBot="1" x14ac:dyDescent="0.3">
      <c r="A738" s="211"/>
      <c r="B738" s="211"/>
      <c r="C738" s="211"/>
      <c r="D738" s="211"/>
      <c r="E738" s="211"/>
      <c r="F738" s="211"/>
      <c r="G738" s="211"/>
      <c r="H738" s="211"/>
      <c r="I738" s="211"/>
    </row>
    <row r="739" spans="1:9" ht="15.75" thickBot="1" x14ac:dyDescent="0.3">
      <c r="A739" s="211"/>
      <c r="B739" s="211"/>
      <c r="C739" s="211"/>
      <c r="D739" s="211"/>
      <c r="E739" s="211"/>
      <c r="F739" s="211"/>
      <c r="G739" s="211"/>
      <c r="H739" s="211"/>
      <c r="I739" s="211"/>
    </row>
    <row r="740" spans="1:9" ht="15.75" thickBot="1" x14ac:dyDescent="0.3">
      <c r="A740" s="211"/>
      <c r="B740" s="211"/>
      <c r="C740" s="211"/>
      <c r="D740" s="211"/>
      <c r="E740" s="211"/>
      <c r="F740" s="211"/>
      <c r="G740" s="211"/>
      <c r="H740" s="211"/>
      <c r="I740" s="211"/>
    </row>
    <row r="741" spans="1:9" ht="15.75" thickBot="1" x14ac:dyDescent="0.3">
      <c r="A741" s="211"/>
      <c r="B741" s="211"/>
      <c r="C741" s="211"/>
      <c r="D741" s="211"/>
      <c r="E741" s="211"/>
      <c r="F741" s="211"/>
      <c r="G741" s="211"/>
      <c r="H741" s="211"/>
      <c r="I741" s="211"/>
    </row>
    <row r="742" spans="1:9" ht="15.75" thickBot="1" x14ac:dyDescent="0.3">
      <c r="A742" s="211"/>
      <c r="B742" s="211"/>
      <c r="C742" s="211"/>
      <c r="D742" s="211"/>
      <c r="E742" s="211"/>
      <c r="F742" s="211"/>
      <c r="G742" s="211"/>
      <c r="H742" s="211"/>
      <c r="I742" s="211"/>
    </row>
    <row r="743" spans="1:9" ht="15.75" thickBot="1" x14ac:dyDescent="0.3">
      <c r="A743" s="211"/>
      <c r="B743" s="211"/>
      <c r="C743" s="211"/>
      <c r="D743" s="211"/>
      <c r="E743" s="211"/>
      <c r="F743" s="211"/>
      <c r="G743" s="211"/>
      <c r="H743" s="211"/>
      <c r="I743" s="211"/>
    </row>
    <row r="744" spans="1:9" ht="15.75" thickBot="1" x14ac:dyDescent="0.3">
      <c r="A744" s="211"/>
      <c r="B744" s="211"/>
      <c r="C744" s="211"/>
      <c r="D744" s="211"/>
      <c r="E744" s="211"/>
      <c r="F744" s="211"/>
      <c r="G744" s="211"/>
      <c r="H744" s="211"/>
      <c r="I744" s="211"/>
    </row>
    <row r="745" spans="1:9" ht="15.75" thickBot="1" x14ac:dyDescent="0.3">
      <c r="A745" s="211"/>
      <c r="B745" s="211"/>
      <c r="C745" s="211"/>
      <c r="D745" s="211"/>
      <c r="E745" s="211"/>
      <c r="F745" s="211"/>
      <c r="G745" s="211"/>
      <c r="H745" s="211"/>
      <c r="I745" s="211"/>
    </row>
    <row r="746" spans="1:9" ht="15.75" thickBot="1" x14ac:dyDescent="0.3">
      <c r="A746" s="211"/>
      <c r="B746" s="211"/>
      <c r="C746" s="211"/>
      <c r="D746" s="211"/>
      <c r="E746" s="211"/>
      <c r="F746" s="211"/>
      <c r="G746" s="211"/>
      <c r="H746" s="211"/>
      <c r="I746" s="211"/>
    </row>
    <row r="747" spans="1:9" ht="15.75" thickBot="1" x14ac:dyDescent="0.3">
      <c r="A747" s="211"/>
      <c r="B747" s="211"/>
      <c r="C747" s="211"/>
      <c r="D747" s="211"/>
      <c r="E747" s="211"/>
      <c r="F747" s="211"/>
      <c r="G747" s="211"/>
      <c r="H747" s="211"/>
      <c r="I747" s="211"/>
    </row>
    <row r="748" spans="1:9" ht="15.75" thickBot="1" x14ac:dyDescent="0.3">
      <c r="A748" s="211"/>
      <c r="B748" s="211"/>
      <c r="C748" s="211"/>
      <c r="D748" s="211"/>
      <c r="E748" s="211"/>
      <c r="F748" s="211"/>
      <c r="G748" s="211"/>
      <c r="H748" s="211"/>
      <c r="I748" s="211"/>
    </row>
    <row r="749" spans="1:9" ht="15.75" thickBot="1" x14ac:dyDescent="0.3">
      <c r="A749" s="211"/>
      <c r="B749" s="211"/>
      <c r="C749" s="211"/>
      <c r="D749" s="211"/>
      <c r="E749" s="211"/>
      <c r="F749" s="211"/>
      <c r="G749" s="211"/>
      <c r="H749" s="211"/>
      <c r="I749" s="211"/>
    </row>
    <row r="750" spans="1:9" ht="15.75" thickBot="1" x14ac:dyDescent="0.3">
      <c r="A750" s="211"/>
      <c r="B750" s="211"/>
      <c r="C750" s="211"/>
      <c r="D750" s="211"/>
      <c r="E750" s="211"/>
      <c r="F750" s="211"/>
      <c r="G750" s="211"/>
      <c r="H750" s="211"/>
      <c r="I750" s="211"/>
    </row>
    <row r="751" spans="1:9" ht="15.75" thickBot="1" x14ac:dyDescent="0.3">
      <c r="A751" s="211"/>
      <c r="B751" s="211"/>
      <c r="C751" s="211"/>
      <c r="D751" s="211"/>
      <c r="E751" s="211"/>
      <c r="F751" s="211"/>
      <c r="G751" s="211"/>
      <c r="H751" s="211"/>
      <c r="I751" s="211"/>
    </row>
    <row r="752" spans="1:9" ht="15.75" thickBot="1" x14ac:dyDescent="0.3">
      <c r="A752" s="211"/>
      <c r="B752" s="211"/>
      <c r="C752" s="211"/>
      <c r="D752" s="211"/>
      <c r="E752" s="211"/>
      <c r="F752" s="211"/>
      <c r="G752" s="211"/>
      <c r="H752" s="211"/>
      <c r="I752" s="211"/>
    </row>
    <row r="753" spans="1:9" ht="15.75" thickBot="1" x14ac:dyDescent="0.3">
      <c r="A753" s="211"/>
      <c r="B753" s="211"/>
      <c r="C753" s="211"/>
      <c r="D753" s="211"/>
      <c r="E753" s="211"/>
      <c r="F753" s="211"/>
      <c r="G753" s="211"/>
      <c r="H753" s="211"/>
      <c r="I753" s="211"/>
    </row>
    <row r="754" spans="1:9" ht="15.75" thickBot="1" x14ac:dyDescent="0.3">
      <c r="A754" s="211"/>
      <c r="B754" s="211"/>
      <c r="C754" s="211"/>
      <c r="D754" s="211"/>
      <c r="E754" s="211"/>
      <c r="F754" s="211"/>
      <c r="G754" s="211"/>
      <c r="H754" s="211"/>
      <c r="I754" s="211"/>
    </row>
    <row r="755" spans="1:9" ht="15.75" thickBot="1" x14ac:dyDescent="0.3">
      <c r="A755" s="211"/>
      <c r="B755" s="211"/>
      <c r="C755" s="211"/>
      <c r="D755" s="211"/>
      <c r="E755" s="211"/>
      <c r="F755" s="211"/>
      <c r="G755" s="211"/>
      <c r="H755" s="211"/>
      <c r="I755" s="211"/>
    </row>
    <row r="756" spans="1:9" ht="15.75" thickBot="1" x14ac:dyDescent="0.3">
      <c r="A756" s="211"/>
      <c r="B756" s="211"/>
      <c r="C756" s="211"/>
      <c r="D756" s="211"/>
      <c r="E756" s="211"/>
      <c r="F756" s="211"/>
      <c r="G756" s="211"/>
      <c r="H756" s="211"/>
      <c r="I756" s="211"/>
    </row>
    <row r="757" spans="1:9" ht="15.75" thickBot="1" x14ac:dyDescent="0.3">
      <c r="A757" s="211"/>
      <c r="B757" s="211"/>
      <c r="C757" s="211"/>
      <c r="D757" s="211"/>
      <c r="E757" s="211"/>
      <c r="F757" s="211"/>
      <c r="G757" s="211"/>
      <c r="H757" s="211"/>
      <c r="I757" s="211"/>
    </row>
    <row r="758" spans="1:9" ht="15.75" thickBot="1" x14ac:dyDescent="0.3">
      <c r="A758" s="211"/>
      <c r="B758" s="211"/>
      <c r="C758" s="211"/>
      <c r="D758" s="211"/>
      <c r="E758" s="211"/>
      <c r="F758" s="211"/>
      <c r="G758" s="211"/>
      <c r="H758" s="211"/>
      <c r="I758" s="211"/>
    </row>
    <row r="759" spans="1:9" ht="15.75" thickBot="1" x14ac:dyDescent="0.3">
      <c r="A759" s="211"/>
      <c r="B759" s="211"/>
      <c r="C759" s="211"/>
      <c r="D759" s="211"/>
      <c r="E759" s="211"/>
      <c r="F759" s="211"/>
      <c r="G759" s="211"/>
      <c r="H759" s="211"/>
      <c r="I759" s="211"/>
    </row>
    <row r="760" spans="1:9" ht="15.75" thickBot="1" x14ac:dyDescent="0.3">
      <c r="A760" s="211"/>
      <c r="B760" s="211"/>
      <c r="C760" s="211"/>
      <c r="D760" s="211"/>
      <c r="E760" s="211"/>
      <c r="F760" s="211"/>
      <c r="G760" s="211"/>
      <c r="H760" s="211"/>
      <c r="I760" s="211"/>
    </row>
    <row r="761" spans="1:9" ht="15.75" thickBot="1" x14ac:dyDescent="0.3">
      <c r="A761" s="211"/>
      <c r="B761" s="211"/>
      <c r="C761" s="211"/>
      <c r="D761" s="211"/>
      <c r="E761" s="211"/>
      <c r="F761" s="211"/>
      <c r="G761" s="211"/>
      <c r="H761" s="211"/>
      <c r="I761" s="211"/>
    </row>
    <row r="762" spans="1:9" ht="15.75" thickBot="1" x14ac:dyDescent="0.3">
      <c r="A762" s="211"/>
      <c r="B762" s="211"/>
      <c r="C762" s="211"/>
      <c r="D762" s="211"/>
      <c r="E762" s="211"/>
      <c r="F762" s="211"/>
      <c r="G762" s="211"/>
      <c r="H762" s="211"/>
      <c r="I762" s="211"/>
    </row>
    <row r="763" spans="1:9" ht="15.75" thickBot="1" x14ac:dyDescent="0.3">
      <c r="A763" s="211"/>
      <c r="B763" s="211"/>
      <c r="C763" s="211"/>
      <c r="D763" s="211"/>
      <c r="E763" s="211"/>
      <c r="F763" s="211"/>
      <c r="G763" s="211"/>
      <c r="H763" s="211"/>
      <c r="I763" s="211"/>
    </row>
    <row r="764" spans="1:9" ht="15.75" thickBot="1" x14ac:dyDescent="0.3">
      <c r="A764" s="211"/>
      <c r="B764" s="211"/>
      <c r="C764" s="211"/>
      <c r="D764" s="211"/>
      <c r="E764" s="211"/>
      <c r="F764" s="211"/>
      <c r="G764" s="211"/>
      <c r="H764" s="211"/>
      <c r="I764" s="211"/>
    </row>
    <row r="765" spans="1:9" ht="15.75" thickBot="1" x14ac:dyDescent="0.3">
      <c r="A765" s="211"/>
      <c r="B765" s="211"/>
      <c r="C765" s="211"/>
      <c r="D765" s="211"/>
      <c r="E765" s="211"/>
      <c r="F765" s="211"/>
      <c r="G765" s="211"/>
      <c r="H765" s="211"/>
      <c r="I765" s="211"/>
    </row>
    <row r="766" spans="1:9" ht="15.75" thickBot="1" x14ac:dyDescent="0.3">
      <c r="A766" s="211"/>
      <c r="B766" s="211"/>
      <c r="C766" s="211"/>
      <c r="D766" s="211"/>
      <c r="E766" s="211"/>
      <c r="F766" s="211"/>
      <c r="G766" s="211"/>
      <c r="H766" s="211"/>
      <c r="I766" s="211"/>
    </row>
    <row r="767" spans="1:9" ht="15.75" thickBot="1" x14ac:dyDescent="0.3">
      <c r="A767" s="211"/>
      <c r="B767" s="211"/>
      <c r="C767" s="211"/>
      <c r="D767" s="211"/>
      <c r="E767" s="211"/>
      <c r="F767" s="211"/>
      <c r="G767" s="211"/>
      <c r="H767" s="211"/>
      <c r="I767" s="211"/>
    </row>
    <row r="768" spans="1:9" ht="15.75" thickBot="1" x14ac:dyDescent="0.3">
      <c r="A768" s="211"/>
      <c r="B768" s="211"/>
      <c r="C768" s="211"/>
      <c r="D768" s="211"/>
      <c r="E768" s="211"/>
      <c r="F768" s="211"/>
      <c r="G768" s="211"/>
      <c r="H768" s="211"/>
      <c r="I768" s="211"/>
    </row>
    <row r="769" spans="1:9" ht="15.75" thickBot="1" x14ac:dyDescent="0.3">
      <c r="A769" s="211"/>
      <c r="B769" s="211"/>
      <c r="C769" s="211"/>
      <c r="D769" s="211"/>
      <c r="E769" s="211"/>
      <c r="F769" s="211"/>
      <c r="G769" s="211"/>
      <c r="H769" s="211"/>
      <c r="I769" s="211"/>
    </row>
    <row r="770" spans="1:9" ht="15.75" thickBot="1" x14ac:dyDescent="0.3">
      <c r="A770" s="211"/>
      <c r="B770" s="211"/>
      <c r="C770" s="211"/>
      <c r="D770" s="211"/>
      <c r="E770" s="211"/>
      <c r="F770" s="211"/>
      <c r="G770" s="211"/>
      <c r="H770" s="211"/>
      <c r="I770" s="211"/>
    </row>
    <row r="771" spans="1:9" ht="15.75" thickBot="1" x14ac:dyDescent="0.3">
      <c r="A771" s="211"/>
      <c r="B771" s="211"/>
      <c r="C771" s="211"/>
      <c r="D771" s="211"/>
      <c r="E771" s="211"/>
      <c r="F771" s="211"/>
      <c r="G771" s="211"/>
      <c r="H771" s="211"/>
      <c r="I771" s="211"/>
    </row>
    <row r="772" spans="1:9" ht="15.75" thickBot="1" x14ac:dyDescent="0.3">
      <c r="A772" s="211"/>
      <c r="B772" s="211"/>
      <c r="C772" s="211"/>
      <c r="D772" s="211"/>
      <c r="E772" s="211"/>
      <c r="F772" s="211"/>
      <c r="G772" s="211"/>
      <c r="H772" s="211"/>
      <c r="I772" s="211"/>
    </row>
    <row r="773" spans="1:9" ht="15.75" thickBot="1" x14ac:dyDescent="0.3">
      <c r="A773" s="211"/>
      <c r="B773" s="211"/>
      <c r="C773" s="211"/>
      <c r="D773" s="211"/>
      <c r="E773" s="211"/>
      <c r="F773" s="211"/>
      <c r="G773" s="211"/>
      <c r="H773" s="211"/>
      <c r="I773" s="211"/>
    </row>
    <row r="774" spans="1:9" ht="15.75" thickBot="1" x14ac:dyDescent="0.3">
      <c r="A774" s="211"/>
      <c r="B774" s="211"/>
      <c r="C774" s="211"/>
      <c r="D774" s="211"/>
      <c r="E774" s="211"/>
      <c r="F774" s="211"/>
      <c r="G774" s="211"/>
      <c r="H774" s="211"/>
      <c r="I774" s="211"/>
    </row>
    <row r="775" spans="1:9" ht="15.75" thickBot="1" x14ac:dyDescent="0.3">
      <c r="A775" s="211"/>
      <c r="B775" s="211"/>
      <c r="C775" s="211"/>
      <c r="D775" s="211"/>
      <c r="E775" s="211"/>
      <c r="F775" s="211"/>
      <c r="G775" s="211"/>
      <c r="H775" s="211"/>
      <c r="I775" s="211"/>
    </row>
    <row r="776" spans="1:9" ht="15.75" thickBot="1" x14ac:dyDescent="0.3">
      <c r="A776" s="211"/>
      <c r="B776" s="211"/>
      <c r="C776" s="211"/>
      <c r="D776" s="211"/>
      <c r="E776" s="211"/>
      <c r="F776" s="211"/>
      <c r="G776" s="211"/>
      <c r="H776" s="211"/>
      <c r="I776" s="211"/>
    </row>
    <row r="777" spans="1:9" ht="15.75" thickBot="1" x14ac:dyDescent="0.3">
      <c r="A777" s="211"/>
      <c r="B777" s="211"/>
      <c r="C777" s="211"/>
      <c r="D777" s="211"/>
      <c r="E777" s="211"/>
      <c r="F777" s="211"/>
      <c r="G777" s="211"/>
      <c r="H777" s="211"/>
      <c r="I777" s="211"/>
    </row>
    <row r="778" spans="1:9" ht="15.75" thickBot="1" x14ac:dyDescent="0.3">
      <c r="A778" s="211"/>
      <c r="B778" s="211"/>
      <c r="C778" s="211"/>
      <c r="D778" s="211"/>
      <c r="E778" s="211"/>
      <c r="F778" s="211"/>
      <c r="G778" s="211"/>
      <c r="H778" s="211"/>
      <c r="I778" s="211"/>
    </row>
    <row r="779" spans="1:9" ht="15.75" thickBot="1" x14ac:dyDescent="0.3">
      <c r="A779" s="211"/>
      <c r="B779" s="211"/>
      <c r="C779" s="211"/>
      <c r="D779" s="211"/>
      <c r="E779" s="211"/>
      <c r="F779" s="211"/>
      <c r="G779" s="211"/>
      <c r="H779" s="211"/>
      <c r="I779" s="211"/>
    </row>
    <row r="780" spans="1:9" ht="15.75" thickBot="1" x14ac:dyDescent="0.3">
      <c r="A780" s="211"/>
      <c r="B780" s="211"/>
      <c r="C780" s="211"/>
      <c r="D780" s="211"/>
      <c r="E780" s="211"/>
      <c r="F780" s="211"/>
      <c r="G780" s="211"/>
      <c r="H780" s="211"/>
      <c r="I780" s="211"/>
    </row>
    <row r="781" spans="1:9" ht="15.75" thickBot="1" x14ac:dyDescent="0.3">
      <c r="A781" s="211"/>
      <c r="B781" s="211"/>
      <c r="C781" s="211"/>
      <c r="D781" s="211"/>
      <c r="E781" s="211"/>
      <c r="F781" s="211"/>
      <c r="G781" s="211"/>
      <c r="H781" s="211"/>
      <c r="I781" s="211"/>
    </row>
    <row r="782" spans="1:9" ht="15.75" thickBot="1" x14ac:dyDescent="0.3">
      <c r="A782" s="211"/>
      <c r="B782" s="211"/>
      <c r="C782" s="211"/>
      <c r="D782" s="211"/>
      <c r="E782" s="211"/>
      <c r="F782" s="211"/>
      <c r="G782" s="211"/>
      <c r="H782" s="211"/>
      <c r="I782" s="211"/>
    </row>
    <row r="783" spans="1:9" ht="15.75" thickBot="1" x14ac:dyDescent="0.3">
      <c r="A783" s="211"/>
      <c r="B783" s="211"/>
      <c r="C783" s="211"/>
      <c r="D783" s="211"/>
      <c r="E783" s="211"/>
      <c r="F783" s="211"/>
      <c r="G783" s="211"/>
      <c r="H783" s="211"/>
      <c r="I783" s="211"/>
    </row>
    <row r="784" spans="1:9" ht="15.75" thickBot="1" x14ac:dyDescent="0.3">
      <c r="A784" s="211"/>
      <c r="B784" s="211"/>
      <c r="C784" s="211"/>
      <c r="D784" s="211"/>
      <c r="E784" s="211"/>
      <c r="F784" s="211"/>
      <c r="G784" s="211"/>
      <c r="H784" s="211"/>
      <c r="I784" s="211"/>
    </row>
    <row r="785" spans="1:9" ht="15.75" thickBot="1" x14ac:dyDescent="0.3">
      <c r="A785" s="211"/>
      <c r="B785" s="211"/>
      <c r="C785" s="211"/>
      <c r="D785" s="211"/>
      <c r="E785" s="211"/>
      <c r="F785" s="211"/>
      <c r="G785" s="211"/>
      <c r="H785" s="211"/>
      <c r="I785" s="211"/>
    </row>
    <row r="786" spans="1:9" ht="15.75" thickBot="1" x14ac:dyDescent="0.3">
      <c r="A786" s="211"/>
      <c r="B786" s="211"/>
      <c r="C786" s="211"/>
      <c r="D786" s="211"/>
      <c r="E786" s="211"/>
      <c r="F786" s="211"/>
      <c r="G786" s="211"/>
      <c r="H786" s="211"/>
      <c r="I786" s="211"/>
    </row>
    <row r="787" spans="1:9" ht="15.75" thickBot="1" x14ac:dyDescent="0.3">
      <c r="A787" s="211"/>
      <c r="B787" s="211"/>
      <c r="C787" s="211"/>
      <c r="D787" s="211"/>
      <c r="E787" s="211"/>
      <c r="F787" s="211"/>
      <c r="G787" s="211"/>
      <c r="H787" s="211"/>
      <c r="I787" s="211"/>
    </row>
    <row r="788" spans="1:9" ht="15.75" thickBot="1" x14ac:dyDescent="0.3">
      <c r="A788" s="211"/>
      <c r="B788" s="211"/>
      <c r="C788" s="211"/>
      <c r="D788" s="211"/>
      <c r="E788" s="211"/>
      <c r="F788" s="211"/>
      <c r="G788" s="211"/>
      <c r="H788" s="211"/>
      <c r="I788" s="211"/>
    </row>
    <row r="789" spans="1:9" ht="15.75" thickBot="1" x14ac:dyDescent="0.3">
      <c r="A789" s="211"/>
      <c r="B789" s="211"/>
      <c r="C789" s="211"/>
      <c r="D789" s="211"/>
      <c r="E789" s="211"/>
      <c r="F789" s="211"/>
      <c r="G789" s="211"/>
      <c r="H789" s="211"/>
      <c r="I789" s="211"/>
    </row>
    <row r="790" spans="1:9" ht="15.75" thickBot="1" x14ac:dyDescent="0.3">
      <c r="A790" s="211"/>
      <c r="B790" s="211"/>
      <c r="C790" s="211"/>
      <c r="D790" s="211"/>
      <c r="E790" s="211"/>
      <c r="F790" s="211"/>
      <c r="G790" s="211"/>
      <c r="H790" s="211"/>
      <c r="I790" s="211"/>
    </row>
    <row r="791" spans="1:9" ht="15.75" thickBot="1" x14ac:dyDescent="0.3">
      <c r="A791" s="211"/>
      <c r="B791" s="211"/>
      <c r="C791" s="211"/>
      <c r="D791" s="211"/>
      <c r="E791" s="211"/>
      <c r="F791" s="211"/>
      <c r="G791" s="211"/>
      <c r="H791" s="211"/>
      <c r="I791" s="211"/>
    </row>
    <row r="792" spans="1:9" ht="15.75" thickBot="1" x14ac:dyDescent="0.3">
      <c r="A792" s="211"/>
      <c r="B792" s="211"/>
      <c r="C792" s="211"/>
      <c r="D792" s="211"/>
      <c r="E792" s="211"/>
      <c r="F792" s="211"/>
      <c r="G792" s="211"/>
      <c r="H792" s="211"/>
      <c r="I792" s="211"/>
    </row>
    <row r="793" spans="1:9" ht="15.75" thickBot="1" x14ac:dyDescent="0.3">
      <c r="A793" s="211"/>
      <c r="B793" s="211"/>
      <c r="C793" s="211"/>
      <c r="D793" s="211"/>
      <c r="E793" s="211"/>
      <c r="F793" s="211"/>
      <c r="G793" s="211"/>
      <c r="H793" s="211"/>
      <c r="I793" s="211"/>
    </row>
    <row r="794" spans="1:9" ht="15.75" thickBot="1" x14ac:dyDescent="0.3">
      <c r="A794" s="211"/>
      <c r="B794" s="211"/>
      <c r="C794" s="211"/>
      <c r="D794" s="211"/>
      <c r="E794" s="211"/>
      <c r="F794" s="211"/>
      <c r="G794" s="211"/>
      <c r="H794" s="211"/>
      <c r="I794" s="211"/>
    </row>
    <row r="795" spans="1:9" ht="15.75" thickBot="1" x14ac:dyDescent="0.3">
      <c r="A795" s="211"/>
      <c r="B795" s="211"/>
      <c r="C795" s="211"/>
      <c r="D795" s="211"/>
      <c r="E795" s="211"/>
      <c r="F795" s="211"/>
      <c r="G795" s="211"/>
      <c r="H795" s="211"/>
      <c r="I795" s="211"/>
    </row>
    <row r="796" spans="1:9" ht="15.75" thickBot="1" x14ac:dyDescent="0.3">
      <c r="A796" s="211"/>
      <c r="B796" s="211"/>
      <c r="C796" s="211"/>
      <c r="D796" s="211"/>
      <c r="E796" s="211"/>
      <c r="F796" s="211"/>
      <c r="G796" s="211"/>
      <c r="H796" s="211"/>
      <c r="I796" s="211"/>
    </row>
    <row r="797" spans="1:9" ht="15.75" thickBot="1" x14ac:dyDescent="0.3">
      <c r="A797" s="211"/>
      <c r="B797" s="211"/>
      <c r="C797" s="211"/>
      <c r="D797" s="211"/>
      <c r="E797" s="211"/>
      <c r="F797" s="211"/>
      <c r="G797" s="211"/>
      <c r="H797" s="211"/>
      <c r="I797" s="211"/>
    </row>
    <row r="798" spans="1:9" ht="15.75" thickBot="1" x14ac:dyDescent="0.3">
      <c r="A798" s="211"/>
      <c r="B798" s="211"/>
      <c r="C798" s="211"/>
      <c r="D798" s="211"/>
      <c r="E798" s="211"/>
      <c r="F798" s="211"/>
      <c r="G798" s="211"/>
      <c r="H798" s="211"/>
      <c r="I798" s="211"/>
    </row>
    <row r="799" spans="1:9" ht="15.75" thickBot="1" x14ac:dyDescent="0.3">
      <c r="A799" s="211"/>
      <c r="B799" s="211"/>
      <c r="C799" s="211"/>
      <c r="D799" s="211"/>
      <c r="E799" s="211"/>
      <c r="F799" s="211"/>
      <c r="G799" s="211"/>
      <c r="H799" s="211"/>
      <c r="I799" s="211"/>
    </row>
    <row r="800" spans="1:9" ht="15.75" thickBot="1" x14ac:dyDescent="0.3">
      <c r="A800" s="211"/>
      <c r="B800" s="211"/>
      <c r="C800" s="211"/>
      <c r="D800" s="211"/>
      <c r="E800" s="211"/>
      <c r="F800" s="211"/>
      <c r="G800" s="211"/>
      <c r="H800" s="211"/>
      <c r="I800" s="211"/>
    </row>
    <row r="801" spans="1:9" ht="15.75" thickBot="1" x14ac:dyDescent="0.3">
      <c r="A801" s="211"/>
      <c r="B801" s="211"/>
      <c r="C801" s="211"/>
      <c r="D801" s="211"/>
      <c r="E801" s="211"/>
      <c r="F801" s="211"/>
      <c r="G801" s="211"/>
      <c r="H801" s="211"/>
      <c r="I801" s="211"/>
    </row>
    <row r="802" spans="1:9" ht="15.75" thickBot="1" x14ac:dyDescent="0.3">
      <c r="A802" s="211"/>
      <c r="B802" s="211"/>
      <c r="C802" s="211"/>
      <c r="D802" s="211"/>
      <c r="E802" s="211"/>
      <c r="F802" s="211"/>
      <c r="G802" s="211"/>
      <c r="H802" s="211"/>
      <c r="I802" s="211"/>
    </row>
    <row r="803" spans="1:9" ht="15.75" thickBot="1" x14ac:dyDescent="0.3">
      <c r="A803" s="211"/>
      <c r="B803" s="211"/>
      <c r="C803" s="211"/>
      <c r="D803" s="211"/>
      <c r="E803" s="211"/>
      <c r="F803" s="211"/>
      <c r="G803" s="211"/>
      <c r="H803" s="211"/>
      <c r="I803" s="211"/>
    </row>
    <row r="804" spans="1:9" ht="15.75" thickBot="1" x14ac:dyDescent="0.3">
      <c r="A804" s="211"/>
      <c r="B804" s="211"/>
      <c r="C804" s="211"/>
      <c r="D804" s="211"/>
      <c r="E804" s="211"/>
      <c r="F804" s="211"/>
      <c r="G804" s="211"/>
      <c r="H804" s="211"/>
      <c r="I804" s="211"/>
    </row>
    <row r="805" spans="1:9" ht="15.75" thickBot="1" x14ac:dyDescent="0.3">
      <c r="A805" s="211"/>
      <c r="B805" s="211"/>
      <c r="C805" s="211"/>
      <c r="D805" s="211"/>
      <c r="E805" s="211"/>
      <c r="F805" s="211"/>
      <c r="G805" s="211"/>
      <c r="H805" s="211"/>
      <c r="I805" s="211"/>
    </row>
    <row r="806" spans="1:9" ht="15.75" thickBot="1" x14ac:dyDescent="0.3">
      <c r="A806" s="211"/>
      <c r="B806" s="211"/>
      <c r="C806" s="211"/>
      <c r="D806" s="211"/>
      <c r="E806" s="211"/>
      <c r="F806" s="211"/>
      <c r="G806" s="211"/>
      <c r="H806" s="211"/>
      <c r="I806" s="211"/>
    </row>
    <row r="807" spans="1:9" ht="15.75" thickBot="1" x14ac:dyDescent="0.3">
      <c r="A807" s="211"/>
      <c r="B807" s="211"/>
      <c r="C807" s="211"/>
      <c r="D807" s="211"/>
      <c r="E807" s="211"/>
      <c r="F807" s="211"/>
      <c r="G807" s="211"/>
      <c r="H807" s="211"/>
      <c r="I807" s="211"/>
    </row>
    <row r="808" spans="1:9" ht="15.75" thickBot="1" x14ac:dyDescent="0.3">
      <c r="A808" s="211"/>
      <c r="B808" s="211"/>
      <c r="C808" s="211"/>
      <c r="D808" s="211"/>
      <c r="E808" s="211"/>
      <c r="F808" s="211"/>
      <c r="G808" s="211"/>
      <c r="H808" s="211"/>
      <c r="I808" s="211"/>
    </row>
    <row r="809" spans="1:9" ht="15.75" thickBot="1" x14ac:dyDescent="0.3">
      <c r="A809" s="211"/>
      <c r="B809" s="211"/>
      <c r="C809" s="211"/>
      <c r="D809" s="211"/>
      <c r="E809" s="211"/>
      <c r="F809" s="211"/>
      <c r="G809" s="211"/>
      <c r="H809" s="211"/>
      <c r="I809" s="211"/>
    </row>
    <row r="810" spans="1:9" ht="15.75" thickBot="1" x14ac:dyDescent="0.3">
      <c r="A810" s="211"/>
      <c r="B810" s="211"/>
      <c r="C810" s="211"/>
      <c r="D810" s="211"/>
      <c r="E810" s="211"/>
      <c r="F810" s="211"/>
      <c r="G810" s="211"/>
      <c r="H810" s="211"/>
      <c r="I810" s="211"/>
    </row>
    <row r="811" spans="1:9" ht="15.75" thickBot="1" x14ac:dyDescent="0.3">
      <c r="A811" s="211"/>
      <c r="B811" s="211"/>
      <c r="C811" s="211"/>
      <c r="D811" s="211"/>
      <c r="E811" s="211"/>
      <c r="F811" s="211"/>
      <c r="G811" s="211"/>
      <c r="H811" s="211"/>
      <c r="I811" s="211"/>
    </row>
    <row r="812" spans="1:9" ht="15.75" thickBot="1" x14ac:dyDescent="0.3">
      <c r="A812" s="211"/>
      <c r="B812" s="211"/>
      <c r="C812" s="211"/>
      <c r="D812" s="211"/>
      <c r="E812" s="211"/>
      <c r="F812" s="211"/>
      <c r="G812" s="211"/>
      <c r="H812" s="211"/>
      <c r="I812" s="211"/>
    </row>
    <row r="813" spans="1:9" ht="15.75" thickBot="1" x14ac:dyDescent="0.3">
      <c r="A813" s="211"/>
      <c r="B813" s="211"/>
      <c r="C813" s="211"/>
      <c r="D813" s="211"/>
      <c r="E813" s="211"/>
      <c r="F813" s="211"/>
      <c r="G813" s="211"/>
      <c r="H813" s="211"/>
      <c r="I813" s="211"/>
    </row>
    <row r="814" spans="1:9" ht="15.75" thickBot="1" x14ac:dyDescent="0.3">
      <c r="A814" s="211"/>
      <c r="B814" s="211"/>
      <c r="C814" s="211"/>
      <c r="D814" s="211"/>
      <c r="E814" s="211"/>
      <c r="F814" s="211"/>
      <c r="G814" s="211"/>
      <c r="H814" s="211"/>
      <c r="I814" s="211"/>
    </row>
    <row r="815" spans="1:9" ht="15.75" thickBot="1" x14ac:dyDescent="0.3">
      <c r="A815" s="211"/>
      <c r="B815" s="211"/>
      <c r="C815" s="211"/>
      <c r="D815" s="211"/>
      <c r="E815" s="211"/>
      <c r="F815" s="211"/>
      <c r="G815" s="211"/>
      <c r="H815" s="211"/>
      <c r="I815" s="211"/>
    </row>
    <row r="816" spans="1:9" ht="15.75" thickBot="1" x14ac:dyDescent="0.3">
      <c r="A816" s="211"/>
      <c r="B816" s="211"/>
      <c r="C816" s="211"/>
      <c r="D816" s="211"/>
      <c r="E816" s="211"/>
      <c r="F816" s="211"/>
      <c r="G816" s="211"/>
      <c r="H816" s="211"/>
      <c r="I816" s="211"/>
    </row>
    <row r="817" spans="1:9" ht="15.75" thickBot="1" x14ac:dyDescent="0.3">
      <c r="A817" s="211"/>
      <c r="B817" s="211"/>
      <c r="C817" s="211"/>
      <c r="D817" s="211"/>
      <c r="E817" s="211"/>
      <c r="F817" s="211"/>
      <c r="G817" s="211"/>
      <c r="H817" s="211"/>
      <c r="I817" s="211"/>
    </row>
    <row r="818" spans="1:9" ht="15.75" thickBot="1" x14ac:dyDescent="0.3">
      <c r="A818" s="211"/>
      <c r="B818" s="211"/>
      <c r="C818" s="211"/>
      <c r="D818" s="211"/>
      <c r="E818" s="211"/>
      <c r="F818" s="211"/>
      <c r="G818" s="211"/>
      <c r="H818" s="211"/>
      <c r="I818" s="211"/>
    </row>
    <row r="819" spans="1:9" ht="15.75" thickBot="1" x14ac:dyDescent="0.3">
      <c r="A819" s="211"/>
      <c r="B819" s="211"/>
      <c r="C819" s="211"/>
      <c r="D819" s="211"/>
      <c r="E819" s="211"/>
      <c r="F819" s="211"/>
      <c r="G819" s="211"/>
      <c r="H819" s="211"/>
      <c r="I819" s="211"/>
    </row>
    <row r="820" spans="1:9" ht="15.75" thickBot="1" x14ac:dyDescent="0.3">
      <c r="A820" s="211"/>
      <c r="B820" s="211"/>
      <c r="C820" s="211"/>
      <c r="D820" s="211"/>
      <c r="E820" s="211"/>
      <c r="F820" s="211"/>
      <c r="G820" s="211"/>
      <c r="H820" s="211"/>
      <c r="I820" s="211"/>
    </row>
    <row r="821" spans="1:9" ht="15.75" thickBot="1" x14ac:dyDescent="0.3">
      <c r="A821" s="211"/>
      <c r="B821" s="211"/>
      <c r="C821" s="211"/>
      <c r="D821" s="211"/>
      <c r="E821" s="211"/>
      <c r="F821" s="211"/>
      <c r="G821" s="211"/>
      <c r="H821" s="211"/>
      <c r="I821" s="211"/>
    </row>
    <row r="822" spans="1:9" ht="15.75" thickBot="1" x14ac:dyDescent="0.3">
      <c r="A822" s="211"/>
      <c r="B822" s="211"/>
      <c r="C822" s="211"/>
      <c r="D822" s="211"/>
      <c r="E822" s="211"/>
      <c r="F822" s="211"/>
      <c r="G822" s="211"/>
      <c r="H822" s="211"/>
      <c r="I822" s="211"/>
    </row>
    <row r="823" spans="1:9" ht="15.75" thickBot="1" x14ac:dyDescent="0.3">
      <c r="A823" s="211"/>
      <c r="B823" s="211"/>
      <c r="C823" s="211"/>
      <c r="D823" s="211"/>
      <c r="E823" s="211"/>
      <c r="F823" s="211"/>
      <c r="G823" s="211"/>
      <c r="H823" s="211"/>
      <c r="I823" s="211"/>
    </row>
    <row r="824" spans="1:9" ht="15.75" thickBot="1" x14ac:dyDescent="0.3">
      <c r="A824" s="211"/>
      <c r="B824" s="211"/>
      <c r="C824" s="211"/>
      <c r="D824" s="211"/>
      <c r="E824" s="211"/>
      <c r="F824" s="211"/>
      <c r="G824" s="211"/>
      <c r="H824" s="211"/>
      <c r="I824" s="211"/>
    </row>
    <row r="825" spans="1:9" ht="15.75" thickBot="1" x14ac:dyDescent="0.3">
      <c r="A825" s="211"/>
      <c r="B825" s="211"/>
      <c r="C825" s="211"/>
      <c r="D825" s="211"/>
      <c r="E825" s="211"/>
      <c r="F825" s="211"/>
      <c r="G825" s="211"/>
      <c r="H825" s="211"/>
      <c r="I825" s="211"/>
    </row>
    <row r="826" spans="1:9" ht="15.75" thickBot="1" x14ac:dyDescent="0.3">
      <c r="A826" s="211"/>
      <c r="B826" s="211"/>
      <c r="C826" s="211"/>
      <c r="D826" s="211"/>
      <c r="E826" s="211"/>
      <c r="F826" s="211"/>
      <c r="G826" s="211"/>
      <c r="H826" s="211"/>
      <c r="I826" s="211"/>
    </row>
    <row r="827" spans="1:9" ht="15.75" thickBot="1" x14ac:dyDescent="0.3">
      <c r="A827" s="211"/>
      <c r="B827" s="211"/>
      <c r="C827" s="211"/>
      <c r="D827" s="211"/>
      <c r="E827" s="211"/>
      <c r="F827" s="211"/>
      <c r="G827" s="211"/>
      <c r="H827" s="211"/>
      <c r="I827" s="211"/>
    </row>
    <row r="828" spans="1:9" ht="15.75" thickBot="1" x14ac:dyDescent="0.3">
      <c r="A828" s="211"/>
      <c r="B828" s="211"/>
      <c r="C828" s="211"/>
      <c r="D828" s="211"/>
      <c r="E828" s="211"/>
      <c r="F828" s="211"/>
      <c r="G828" s="211"/>
      <c r="H828" s="211"/>
      <c r="I828" s="211"/>
    </row>
    <row r="829" spans="1:9" ht="15.75" thickBot="1" x14ac:dyDescent="0.3">
      <c r="A829" s="211"/>
      <c r="B829" s="211"/>
      <c r="C829" s="211"/>
      <c r="D829" s="211"/>
      <c r="E829" s="211"/>
      <c r="F829" s="211"/>
      <c r="G829" s="211"/>
      <c r="H829" s="211"/>
      <c r="I829" s="211"/>
    </row>
    <row r="830" spans="1:9" ht="15.75" thickBot="1" x14ac:dyDescent="0.3">
      <c r="A830" s="211"/>
      <c r="B830" s="211"/>
      <c r="C830" s="211"/>
      <c r="D830" s="211"/>
      <c r="E830" s="211"/>
      <c r="F830" s="211"/>
      <c r="G830" s="211"/>
      <c r="H830" s="211"/>
      <c r="I830" s="211"/>
    </row>
    <row r="831" spans="1:9" ht="15.75" thickBot="1" x14ac:dyDescent="0.3">
      <c r="A831" s="211"/>
      <c r="B831" s="211"/>
      <c r="C831" s="211"/>
      <c r="D831" s="211"/>
      <c r="E831" s="211"/>
      <c r="F831" s="211"/>
      <c r="G831" s="211"/>
      <c r="H831" s="211"/>
      <c r="I831" s="211"/>
    </row>
    <row r="832" spans="1:9" ht="15.75" thickBot="1" x14ac:dyDescent="0.3">
      <c r="A832" s="211"/>
      <c r="B832" s="211"/>
      <c r="C832" s="211"/>
      <c r="D832" s="211"/>
      <c r="E832" s="211"/>
      <c r="F832" s="211"/>
      <c r="G832" s="211"/>
      <c r="H832" s="211"/>
      <c r="I832" s="211"/>
    </row>
    <row r="833" spans="1:9" ht="15.75" thickBot="1" x14ac:dyDescent="0.3">
      <c r="A833" s="211"/>
      <c r="B833" s="211"/>
      <c r="C833" s="211"/>
      <c r="D833" s="211"/>
      <c r="E833" s="211"/>
      <c r="F833" s="211"/>
      <c r="G833" s="211"/>
      <c r="H833" s="211"/>
      <c r="I833" s="211"/>
    </row>
    <row r="834" spans="1:9" ht="15.75" thickBot="1" x14ac:dyDescent="0.3">
      <c r="A834" s="211"/>
      <c r="B834" s="211"/>
      <c r="C834" s="211"/>
      <c r="D834" s="211"/>
      <c r="E834" s="211"/>
      <c r="F834" s="211"/>
      <c r="G834" s="211"/>
      <c r="H834" s="211"/>
      <c r="I834" s="211"/>
    </row>
    <row r="835" spans="1:9" ht="15.75" thickBot="1" x14ac:dyDescent="0.3">
      <c r="A835" s="211"/>
      <c r="B835" s="211"/>
      <c r="C835" s="211"/>
      <c r="D835" s="211"/>
      <c r="E835" s="211"/>
      <c r="F835" s="211"/>
      <c r="G835" s="211"/>
      <c r="H835" s="211"/>
      <c r="I835" s="211"/>
    </row>
    <row r="836" spans="1:9" ht="15.75" thickBot="1" x14ac:dyDescent="0.3">
      <c r="A836" s="211"/>
      <c r="B836" s="211"/>
      <c r="C836" s="211"/>
      <c r="D836" s="211"/>
      <c r="E836" s="211"/>
      <c r="F836" s="211"/>
      <c r="G836" s="211"/>
      <c r="H836" s="211"/>
      <c r="I836" s="211"/>
    </row>
    <row r="837" spans="1:9" ht="15.75" thickBot="1" x14ac:dyDescent="0.3">
      <c r="A837" s="211"/>
      <c r="B837" s="211"/>
      <c r="C837" s="211"/>
      <c r="D837" s="211"/>
      <c r="E837" s="211"/>
      <c r="F837" s="211"/>
      <c r="G837" s="211"/>
      <c r="H837" s="211"/>
      <c r="I837" s="211"/>
    </row>
    <row r="838" spans="1:9" ht="15.75" thickBot="1" x14ac:dyDescent="0.3">
      <c r="A838" s="211"/>
      <c r="B838" s="211"/>
      <c r="C838" s="211"/>
      <c r="D838" s="211"/>
      <c r="E838" s="211"/>
      <c r="F838" s="211"/>
      <c r="G838" s="211"/>
      <c r="H838" s="211"/>
      <c r="I838" s="211"/>
    </row>
    <row r="839" spans="1:9" ht="15.75" thickBot="1" x14ac:dyDescent="0.3">
      <c r="A839" s="211"/>
      <c r="B839" s="211"/>
      <c r="C839" s="211"/>
      <c r="D839" s="211"/>
      <c r="E839" s="211"/>
      <c r="F839" s="211"/>
      <c r="G839" s="211"/>
      <c r="H839" s="211"/>
      <c r="I839" s="211"/>
    </row>
    <row r="840" spans="1:9" ht="15.75" thickBot="1" x14ac:dyDescent="0.3">
      <c r="A840" s="211"/>
      <c r="B840" s="211"/>
      <c r="C840" s="211"/>
      <c r="D840" s="211"/>
      <c r="E840" s="211"/>
      <c r="F840" s="211"/>
      <c r="G840" s="211"/>
      <c r="H840" s="211"/>
      <c r="I840" s="211"/>
    </row>
    <row r="841" spans="1:9" ht="15.75" thickBot="1" x14ac:dyDescent="0.3">
      <c r="A841" s="211"/>
      <c r="B841" s="211"/>
      <c r="C841" s="211"/>
      <c r="D841" s="211"/>
      <c r="E841" s="211"/>
      <c r="F841" s="211"/>
      <c r="G841" s="211"/>
      <c r="H841" s="211"/>
      <c r="I841" s="211"/>
    </row>
    <row r="842" spans="1:9" ht="15.75" thickBot="1" x14ac:dyDescent="0.3">
      <c r="A842" s="211"/>
      <c r="B842" s="211"/>
      <c r="C842" s="211"/>
      <c r="D842" s="211"/>
      <c r="E842" s="211"/>
      <c r="F842" s="211"/>
      <c r="G842" s="211"/>
      <c r="H842" s="211"/>
      <c r="I842" s="211"/>
    </row>
    <row r="843" spans="1:9" ht="15.75" thickBot="1" x14ac:dyDescent="0.3">
      <c r="A843" s="211"/>
      <c r="B843" s="211"/>
      <c r="C843" s="211"/>
      <c r="D843" s="211"/>
      <c r="E843" s="211"/>
      <c r="F843" s="211"/>
      <c r="G843" s="211"/>
      <c r="H843" s="211"/>
      <c r="I843" s="211"/>
    </row>
    <row r="844" spans="1:9" ht="15.75" thickBot="1" x14ac:dyDescent="0.3">
      <c r="A844" s="211"/>
      <c r="B844" s="211"/>
      <c r="C844" s="211"/>
      <c r="D844" s="211"/>
      <c r="E844" s="211"/>
      <c r="F844" s="211"/>
      <c r="G844" s="211"/>
      <c r="H844" s="211"/>
      <c r="I844" s="211"/>
    </row>
    <row r="845" spans="1:9" ht="15.75" thickBot="1" x14ac:dyDescent="0.3">
      <c r="A845" s="211"/>
      <c r="B845" s="211"/>
      <c r="C845" s="211"/>
      <c r="D845" s="211"/>
      <c r="E845" s="211"/>
      <c r="F845" s="211"/>
      <c r="G845" s="211"/>
      <c r="H845" s="211"/>
      <c r="I845" s="211"/>
    </row>
    <row r="846" spans="1:9" ht="15.75" thickBot="1" x14ac:dyDescent="0.3">
      <c r="A846" s="211"/>
      <c r="B846" s="211"/>
      <c r="C846" s="211"/>
      <c r="D846" s="211"/>
      <c r="E846" s="211"/>
      <c r="F846" s="211"/>
      <c r="G846" s="211"/>
      <c r="H846" s="211"/>
      <c r="I846" s="211"/>
    </row>
    <row r="847" spans="1:9" ht="15.75" thickBot="1" x14ac:dyDescent="0.3">
      <c r="A847" s="211"/>
      <c r="B847" s="211"/>
      <c r="C847" s="211"/>
      <c r="D847" s="211"/>
      <c r="E847" s="211"/>
      <c r="F847" s="211"/>
      <c r="G847" s="211"/>
      <c r="H847" s="211"/>
      <c r="I847" s="211"/>
    </row>
    <row r="848" spans="1:9" ht="15.75" thickBot="1" x14ac:dyDescent="0.3">
      <c r="A848" s="211"/>
      <c r="B848" s="211"/>
      <c r="C848" s="211"/>
      <c r="D848" s="211"/>
      <c r="E848" s="211"/>
      <c r="F848" s="211"/>
      <c r="G848" s="211"/>
      <c r="H848" s="211"/>
      <c r="I848" s="211"/>
    </row>
    <row r="849" spans="1:9" ht="15.75" thickBot="1" x14ac:dyDescent="0.3">
      <c r="A849" s="211"/>
      <c r="B849" s="211"/>
      <c r="C849" s="211"/>
      <c r="D849" s="211"/>
      <c r="E849" s="211"/>
      <c r="F849" s="211"/>
      <c r="G849" s="211"/>
      <c r="H849" s="211"/>
      <c r="I849" s="211"/>
    </row>
    <row r="850" spans="1:9" ht="15.75" thickBot="1" x14ac:dyDescent="0.3">
      <c r="A850" s="211"/>
      <c r="B850" s="211"/>
      <c r="C850" s="211"/>
      <c r="D850" s="211"/>
      <c r="E850" s="211"/>
      <c r="F850" s="211"/>
      <c r="G850" s="211"/>
      <c r="H850" s="211"/>
      <c r="I850" s="211"/>
    </row>
    <row r="851" spans="1:9" ht="15.75" thickBot="1" x14ac:dyDescent="0.3">
      <c r="A851" s="211"/>
      <c r="B851" s="211"/>
      <c r="C851" s="211"/>
      <c r="D851" s="211"/>
      <c r="E851" s="211"/>
      <c r="F851" s="211"/>
      <c r="G851" s="211"/>
      <c r="H851" s="211"/>
      <c r="I851" s="211"/>
    </row>
    <row r="852" spans="1:9" ht="15.75" thickBot="1" x14ac:dyDescent="0.3">
      <c r="A852" s="211"/>
      <c r="B852" s="211"/>
      <c r="C852" s="211"/>
      <c r="D852" s="211"/>
      <c r="E852" s="211"/>
      <c r="F852" s="211"/>
      <c r="G852" s="211"/>
      <c r="H852" s="211"/>
      <c r="I852" s="211"/>
    </row>
    <row r="853" spans="1:9" ht="15.75" thickBot="1" x14ac:dyDescent="0.3">
      <c r="A853" s="211"/>
      <c r="B853" s="211"/>
      <c r="C853" s="211"/>
      <c r="D853" s="211"/>
      <c r="E853" s="211"/>
      <c r="F853" s="211"/>
      <c r="G853" s="211"/>
      <c r="H853" s="211"/>
      <c r="I853" s="211"/>
    </row>
    <row r="854" spans="1:9" ht="15.75" thickBot="1" x14ac:dyDescent="0.3">
      <c r="A854" s="211"/>
      <c r="B854" s="211"/>
      <c r="C854" s="211"/>
      <c r="D854" s="211"/>
      <c r="E854" s="211"/>
      <c r="F854" s="211"/>
      <c r="G854" s="211"/>
      <c r="H854" s="211"/>
      <c r="I854" s="211"/>
    </row>
    <row r="855" spans="1:9" ht="15.75" thickBot="1" x14ac:dyDescent="0.3">
      <c r="A855" s="211"/>
      <c r="B855" s="211"/>
      <c r="C855" s="211"/>
      <c r="D855" s="211"/>
      <c r="E855" s="211"/>
      <c r="F855" s="211"/>
      <c r="G855" s="211"/>
      <c r="H855" s="211"/>
      <c r="I855" s="211"/>
    </row>
    <row r="856" spans="1:9" ht="15.75" thickBot="1" x14ac:dyDescent="0.3">
      <c r="A856" s="211"/>
      <c r="B856" s="211"/>
      <c r="C856" s="211"/>
      <c r="D856" s="211"/>
      <c r="E856" s="211"/>
      <c r="F856" s="211"/>
      <c r="G856" s="211"/>
      <c r="H856" s="211"/>
      <c r="I856" s="211"/>
    </row>
    <row r="857" spans="1:9" ht="15.75" thickBot="1" x14ac:dyDescent="0.3">
      <c r="A857" s="211"/>
      <c r="B857" s="211"/>
      <c r="C857" s="211"/>
      <c r="D857" s="211"/>
      <c r="E857" s="211"/>
      <c r="F857" s="211"/>
      <c r="G857" s="211"/>
      <c r="H857" s="211"/>
      <c r="I857" s="211"/>
    </row>
    <row r="858" spans="1:9" ht="15.75" thickBot="1" x14ac:dyDescent="0.3">
      <c r="A858" s="211"/>
      <c r="B858" s="211"/>
      <c r="C858" s="211"/>
      <c r="D858" s="211"/>
      <c r="E858" s="211"/>
      <c r="F858" s="211"/>
      <c r="G858" s="211"/>
      <c r="H858" s="211"/>
      <c r="I858" s="211"/>
    </row>
    <row r="859" spans="1:9" ht="15.75" thickBot="1" x14ac:dyDescent="0.3">
      <c r="A859" s="211"/>
      <c r="B859" s="211"/>
      <c r="C859" s="211"/>
      <c r="D859" s="211"/>
      <c r="E859" s="211"/>
      <c r="F859" s="211"/>
      <c r="G859" s="211"/>
      <c r="H859" s="211"/>
      <c r="I859" s="211"/>
    </row>
    <row r="860" spans="1:9" ht="15.75" thickBot="1" x14ac:dyDescent="0.3">
      <c r="A860" s="211"/>
      <c r="B860" s="211"/>
      <c r="C860" s="211"/>
      <c r="D860" s="211"/>
      <c r="E860" s="211"/>
      <c r="F860" s="211"/>
      <c r="G860" s="211"/>
      <c r="H860" s="211"/>
      <c r="I860" s="211"/>
    </row>
    <row r="861" spans="1:9" ht="15.75" thickBot="1" x14ac:dyDescent="0.3">
      <c r="A861" s="211"/>
      <c r="B861" s="211"/>
      <c r="C861" s="211"/>
      <c r="D861" s="211"/>
      <c r="E861" s="211"/>
      <c r="F861" s="211"/>
      <c r="G861" s="211"/>
      <c r="H861" s="211"/>
      <c r="I861" s="211"/>
    </row>
    <row r="862" spans="1:9" ht="15.75" thickBot="1" x14ac:dyDescent="0.3">
      <c r="A862" s="211"/>
      <c r="B862" s="211"/>
      <c r="C862" s="211"/>
      <c r="D862" s="211"/>
      <c r="E862" s="211"/>
      <c r="F862" s="211"/>
      <c r="G862" s="211"/>
      <c r="H862" s="211"/>
      <c r="I862" s="211"/>
    </row>
    <row r="863" spans="1:9" ht="15.75" thickBot="1" x14ac:dyDescent="0.3">
      <c r="A863" s="211"/>
      <c r="B863" s="211"/>
      <c r="C863" s="211"/>
      <c r="D863" s="211"/>
      <c r="E863" s="211"/>
      <c r="F863" s="211"/>
      <c r="G863" s="211"/>
      <c r="H863" s="211"/>
      <c r="I863" s="211"/>
    </row>
    <row r="864" spans="1:9" ht="15.75" thickBot="1" x14ac:dyDescent="0.3">
      <c r="A864" s="211"/>
      <c r="B864" s="211"/>
      <c r="C864" s="211"/>
      <c r="D864" s="211"/>
      <c r="E864" s="211"/>
      <c r="F864" s="211"/>
      <c r="G864" s="211"/>
      <c r="H864" s="211"/>
      <c r="I864" s="211"/>
    </row>
    <row r="865" spans="1:9" ht="15.75" thickBot="1" x14ac:dyDescent="0.3">
      <c r="A865" s="211"/>
      <c r="B865" s="211"/>
      <c r="C865" s="211"/>
      <c r="D865" s="211"/>
      <c r="E865" s="211"/>
      <c r="F865" s="211"/>
      <c r="G865" s="211"/>
      <c r="H865" s="211"/>
      <c r="I865" s="211"/>
    </row>
    <row r="866" spans="1:9" ht="15.75" thickBot="1" x14ac:dyDescent="0.3">
      <c r="A866" s="211"/>
      <c r="B866" s="211"/>
      <c r="C866" s="211"/>
      <c r="D866" s="211"/>
      <c r="E866" s="211"/>
      <c r="F866" s="211"/>
      <c r="G866" s="211"/>
      <c r="H866" s="211"/>
      <c r="I866" s="211"/>
    </row>
    <row r="867" spans="1:9" ht="15.75" thickBot="1" x14ac:dyDescent="0.3">
      <c r="A867" s="211"/>
      <c r="B867" s="211"/>
      <c r="C867" s="211"/>
      <c r="D867" s="211"/>
      <c r="E867" s="211"/>
      <c r="F867" s="211"/>
      <c r="G867" s="211"/>
      <c r="H867" s="211"/>
      <c r="I867" s="211"/>
    </row>
    <row r="868" spans="1:9" ht="15.75" thickBot="1" x14ac:dyDescent="0.3">
      <c r="A868" s="211"/>
      <c r="B868" s="211"/>
      <c r="C868" s="211"/>
      <c r="D868" s="211"/>
      <c r="E868" s="211"/>
      <c r="F868" s="211"/>
      <c r="G868" s="211"/>
      <c r="H868" s="211"/>
      <c r="I868" s="211"/>
    </row>
    <row r="869" spans="1:9" ht="15.75" thickBot="1" x14ac:dyDescent="0.3">
      <c r="A869" s="211"/>
      <c r="B869" s="211"/>
      <c r="C869" s="211"/>
      <c r="D869" s="211"/>
      <c r="E869" s="211"/>
      <c r="F869" s="211"/>
      <c r="G869" s="211"/>
      <c r="H869" s="211"/>
      <c r="I869" s="211"/>
    </row>
    <row r="870" spans="1:9" ht="15.75" thickBot="1" x14ac:dyDescent="0.3">
      <c r="A870" s="211"/>
      <c r="B870" s="211"/>
      <c r="C870" s="211"/>
      <c r="D870" s="211"/>
      <c r="E870" s="211"/>
      <c r="F870" s="211"/>
      <c r="G870" s="211"/>
      <c r="H870" s="211"/>
      <c r="I870" s="211"/>
    </row>
    <row r="871" spans="1:9" ht="15.75" thickBot="1" x14ac:dyDescent="0.3">
      <c r="A871" s="211"/>
      <c r="B871" s="211"/>
      <c r="C871" s="211"/>
      <c r="D871" s="211"/>
      <c r="E871" s="211"/>
      <c r="F871" s="211"/>
      <c r="G871" s="211"/>
      <c r="H871" s="211"/>
      <c r="I871" s="211"/>
    </row>
    <row r="872" spans="1:9" ht="15.75" thickBot="1" x14ac:dyDescent="0.3">
      <c r="A872" s="211"/>
      <c r="B872" s="211"/>
      <c r="C872" s="211"/>
      <c r="D872" s="211"/>
      <c r="E872" s="211"/>
      <c r="F872" s="211"/>
      <c r="G872" s="211"/>
      <c r="H872" s="211"/>
      <c r="I872" s="211"/>
    </row>
    <row r="873" spans="1:9" ht="15.75" thickBot="1" x14ac:dyDescent="0.3">
      <c r="A873" s="211"/>
      <c r="B873" s="211"/>
      <c r="C873" s="211"/>
      <c r="D873" s="211"/>
      <c r="E873" s="211"/>
      <c r="F873" s="211"/>
      <c r="G873" s="211"/>
      <c r="H873" s="211"/>
      <c r="I873" s="211"/>
    </row>
    <row r="874" spans="1:9" ht="15.75" thickBot="1" x14ac:dyDescent="0.3">
      <c r="A874" s="211"/>
      <c r="B874" s="211"/>
      <c r="C874" s="211"/>
      <c r="D874" s="211"/>
      <c r="E874" s="211"/>
      <c r="F874" s="211"/>
      <c r="G874" s="211"/>
      <c r="H874" s="211"/>
      <c r="I874" s="211"/>
    </row>
    <row r="875" spans="1:9" ht="15.75" thickBot="1" x14ac:dyDescent="0.3">
      <c r="A875" s="211"/>
      <c r="B875" s="211"/>
      <c r="C875" s="211"/>
      <c r="D875" s="211"/>
      <c r="E875" s="211"/>
      <c r="F875" s="211"/>
      <c r="G875" s="211"/>
      <c r="H875" s="211"/>
      <c r="I875" s="211"/>
    </row>
    <row r="876" spans="1:9" ht="15.75" thickBot="1" x14ac:dyDescent="0.3">
      <c r="A876" s="211"/>
      <c r="B876" s="211"/>
      <c r="C876" s="211"/>
      <c r="D876" s="211"/>
      <c r="E876" s="211"/>
      <c r="F876" s="211"/>
      <c r="G876" s="211"/>
      <c r="H876" s="211"/>
      <c r="I876" s="211"/>
    </row>
    <row r="877" spans="1:9" ht="15.75" thickBot="1" x14ac:dyDescent="0.3">
      <c r="A877" s="211"/>
      <c r="B877" s="211"/>
      <c r="C877" s="211"/>
      <c r="D877" s="211"/>
      <c r="E877" s="211"/>
      <c r="F877" s="211"/>
      <c r="G877" s="211"/>
      <c r="H877" s="211"/>
      <c r="I877" s="211"/>
    </row>
    <row r="878" spans="1:9" ht="15.75" thickBot="1" x14ac:dyDescent="0.3">
      <c r="A878" s="211"/>
      <c r="B878" s="211"/>
      <c r="C878" s="211"/>
      <c r="D878" s="211"/>
      <c r="E878" s="211"/>
      <c r="F878" s="211"/>
      <c r="G878" s="211"/>
      <c r="H878" s="211"/>
      <c r="I878" s="211"/>
    </row>
    <row r="879" spans="1:9" ht="15.75" thickBot="1" x14ac:dyDescent="0.3">
      <c r="A879" s="211"/>
      <c r="B879" s="211"/>
      <c r="C879" s="211"/>
      <c r="D879" s="211"/>
      <c r="E879" s="211"/>
      <c r="F879" s="211"/>
      <c r="G879" s="211"/>
      <c r="H879" s="211"/>
      <c r="I879" s="211"/>
    </row>
    <row r="880" spans="1:9" ht="15.75" thickBot="1" x14ac:dyDescent="0.3">
      <c r="A880" s="211"/>
      <c r="B880" s="211"/>
      <c r="C880" s="211"/>
      <c r="D880" s="211"/>
      <c r="E880" s="211"/>
      <c r="F880" s="211"/>
      <c r="G880" s="211"/>
      <c r="H880" s="211"/>
      <c r="I880" s="211"/>
    </row>
    <row r="881" spans="1:9" ht="15.75" thickBot="1" x14ac:dyDescent="0.3">
      <c r="A881" s="211"/>
      <c r="B881" s="211"/>
      <c r="C881" s="211"/>
      <c r="D881" s="211"/>
      <c r="E881" s="211"/>
      <c r="F881" s="211"/>
      <c r="G881" s="211"/>
      <c r="H881" s="211"/>
      <c r="I881" s="211"/>
    </row>
    <row r="882" spans="1:9" ht="15.75" thickBot="1" x14ac:dyDescent="0.3">
      <c r="A882" s="211"/>
      <c r="B882" s="211"/>
      <c r="C882" s="211"/>
      <c r="D882" s="211"/>
      <c r="E882" s="211"/>
      <c r="F882" s="211"/>
      <c r="G882" s="211"/>
      <c r="H882" s="211"/>
      <c r="I882" s="211"/>
    </row>
    <row r="883" spans="1:9" ht="15.75" thickBot="1" x14ac:dyDescent="0.3">
      <c r="A883" s="211"/>
      <c r="B883" s="211"/>
      <c r="C883" s="211"/>
      <c r="D883" s="211"/>
      <c r="E883" s="211"/>
      <c r="F883" s="211"/>
      <c r="G883" s="211"/>
      <c r="H883" s="211"/>
      <c r="I883" s="211"/>
    </row>
    <row r="884" spans="1:9" ht="15.75" thickBot="1" x14ac:dyDescent="0.3">
      <c r="A884" s="211"/>
      <c r="B884" s="211"/>
      <c r="C884" s="211"/>
      <c r="D884" s="211"/>
      <c r="E884" s="211"/>
      <c r="F884" s="211"/>
      <c r="G884" s="211"/>
      <c r="H884" s="211"/>
      <c r="I884" s="211"/>
    </row>
    <row r="885" spans="1:9" ht="15.75" thickBot="1" x14ac:dyDescent="0.3">
      <c r="A885" s="211"/>
      <c r="B885" s="211"/>
      <c r="C885" s="211"/>
      <c r="D885" s="211"/>
      <c r="E885" s="211"/>
      <c r="F885" s="211"/>
      <c r="G885" s="211"/>
      <c r="H885" s="211"/>
      <c r="I885" s="211"/>
    </row>
    <row r="886" spans="1:9" ht="15.75" thickBot="1" x14ac:dyDescent="0.3">
      <c r="A886" s="211"/>
      <c r="B886" s="211"/>
      <c r="C886" s="211"/>
      <c r="D886" s="211"/>
      <c r="E886" s="211"/>
      <c r="F886" s="211"/>
      <c r="G886" s="211"/>
      <c r="H886" s="211"/>
      <c r="I886" s="211"/>
    </row>
    <row r="887" spans="1:9" ht="15.75" thickBot="1" x14ac:dyDescent="0.3">
      <c r="A887" s="211"/>
      <c r="B887" s="211"/>
      <c r="C887" s="211"/>
      <c r="D887" s="211"/>
      <c r="E887" s="211"/>
      <c r="F887" s="211"/>
      <c r="G887" s="211"/>
      <c r="H887" s="211"/>
      <c r="I887" s="211"/>
    </row>
    <row r="888" spans="1:9" ht="15.75" thickBot="1" x14ac:dyDescent="0.3">
      <c r="A888" s="211"/>
      <c r="B888" s="211"/>
      <c r="C888" s="211"/>
      <c r="D888" s="211"/>
      <c r="E888" s="211"/>
      <c r="F888" s="211"/>
      <c r="G888" s="211"/>
      <c r="H888" s="211"/>
      <c r="I888" s="211"/>
    </row>
    <row r="889" spans="1:9" ht="15.75" thickBot="1" x14ac:dyDescent="0.3">
      <c r="A889" s="211"/>
      <c r="B889" s="211"/>
      <c r="C889" s="211"/>
      <c r="D889" s="211"/>
      <c r="E889" s="211"/>
      <c r="F889" s="211"/>
      <c r="G889" s="211"/>
      <c r="H889" s="211"/>
      <c r="I889" s="211"/>
    </row>
    <row r="890" spans="1:9" ht="15.75" thickBot="1" x14ac:dyDescent="0.3">
      <c r="A890" s="211"/>
      <c r="B890" s="211"/>
      <c r="C890" s="211"/>
      <c r="D890" s="211"/>
      <c r="E890" s="211"/>
      <c r="F890" s="211"/>
      <c r="G890" s="211"/>
      <c r="H890" s="211"/>
      <c r="I890" s="211"/>
    </row>
    <row r="891" spans="1:9" ht="15.75" thickBot="1" x14ac:dyDescent="0.3">
      <c r="A891" s="211"/>
      <c r="B891" s="211"/>
      <c r="C891" s="211"/>
      <c r="D891" s="211"/>
      <c r="E891" s="211"/>
      <c r="F891" s="211"/>
      <c r="G891" s="211"/>
      <c r="H891" s="211"/>
      <c r="I891" s="211"/>
    </row>
    <row r="892" spans="1:9" ht="15.75" thickBot="1" x14ac:dyDescent="0.3">
      <c r="A892" s="211"/>
      <c r="B892" s="211"/>
      <c r="C892" s="211"/>
      <c r="D892" s="211"/>
      <c r="E892" s="211"/>
      <c r="F892" s="211"/>
      <c r="G892" s="211"/>
      <c r="H892" s="211"/>
      <c r="I892" s="211"/>
    </row>
    <row r="893" spans="1:9" ht="15.75" thickBot="1" x14ac:dyDescent="0.3">
      <c r="A893" s="211"/>
      <c r="B893" s="211"/>
      <c r="C893" s="211"/>
      <c r="D893" s="211"/>
      <c r="E893" s="211"/>
      <c r="F893" s="211"/>
      <c r="G893" s="211"/>
      <c r="H893" s="211"/>
      <c r="I893" s="211"/>
    </row>
    <row r="894" spans="1:9" ht="15.75" thickBot="1" x14ac:dyDescent="0.3">
      <c r="A894" s="211"/>
      <c r="B894" s="211"/>
      <c r="C894" s="211"/>
      <c r="D894" s="211"/>
      <c r="E894" s="211"/>
      <c r="F894" s="211"/>
      <c r="G894" s="211"/>
      <c r="H894" s="211"/>
      <c r="I894" s="211"/>
    </row>
    <row r="895" spans="1:9" ht="15.75" thickBot="1" x14ac:dyDescent="0.3">
      <c r="A895" s="211"/>
      <c r="B895" s="211"/>
      <c r="C895" s="211"/>
      <c r="D895" s="211"/>
      <c r="E895" s="211"/>
      <c r="F895" s="211"/>
      <c r="G895" s="211"/>
      <c r="H895" s="211"/>
      <c r="I895" s="211"/>
    </row>
    <row r="896" spans="1:9" ht="15.75" thickBot="1" x14ac:dyDescent="0.3">
      <c r="A896" s="211"/>
      <c r="B896" s="211"/>
      <c r="C896" s="211"/>
      <c r="D896" s="211"/>
      <c r="E896" s="211"/>
      <c r="F896" s="211"/>
      <c r="G896" s="211"/>
      <c r="H896" s="211"/>
      <c r="I896" s="211"/>
    </row>
    <row r="897" spans="1:9" ht="15.75" thickBot="1" x14ac:dyDescent="0.3">
      <c r="A897" s="211"/>
      <c r="B897" s="211"/>
      <c r="C897" s="211"/>
      <c r="D897" s="211"/>
      <c r="E897" s="211"/>
      <c r="F897" s="211"/>
      <c r="G897" s="211"/>
      <c r="H897" s="211"/>
      <c r="I897" s="211"/>
    </row>
    <row r="898" spans="1:9" ht="15.75" thickBot="1" x14ac:dyDescent="0.3">
      <c r="A898" s="211"/>
      <c r="B898" s="211"/>
      <c r="C898" s="211"/>
      <c r="D898" s="211"/>
      <c r="E898" s="211"/>
      <c r="F898" s="211"/>
      <c r="G898" s="211"/>
      <c r="H898" s="211"/>
      <c r="I898" s="211"/>
    </row>
    <row r="899" spans="1:9" ht="15.75" thickBot="1" x14ac:dyDescent="0.3">
      <c r="A899" s="211"/>
      <c r="B899" s="211"/>
      <c r="C899" s="211"/>
      <c r="D899" s="211"/>
      <c r="E899" s="211"/>
      <c r="F899" s="211"/>
      <c r="G899" s="211"/>
      <c r="H899" s="211"/>
      <c r="I899" s="211"/>
    </row>
    <row r="900" spans="1:9" ht="15.75" thickBot="1" x14ac:dyDescent="0.3">
      <c r="A900" s="211"/>
      <c r="B900" s="211"/>
      <c r="C900" s="211"/>
      <c r="D900" s="211"/>
      <c r="E900" s="211"/>
      <c r="F900" s="211"/>
      <c r="G900" s="211"/>
      <c r="H900" s="211"/>
      <c r="I900" s="211"/>
    </row>
    <row r="901" spans="1:9" ht="15.75" thickBot="1" x14ac:dyDescent="0.3">
      <c r="A901" s="211"/>
      <c r="B901" s="211"/>
      <c r="C901" s="211"/>
      <c r="D901" s="211"/>
      <c r="E901" s="211"/>
      <c r="F901" s="211"/>
      <c r="G901" s="211"/>
      <c r="H901" s="211"/>
      <c r="I901" s="211"/>
    </row>
    <row r="902" spans="1:9" ht="15.75" thickBot="1" x14ac:dyDescent="0.3">
      <c r="A902" s="211"/>
      <c r="B902" s="211"/>
      <c r="C902" s="211"/>
      <c r="D902" s="211"/>
      <c r="E902" s="211"/>
      <c r="F902" s="211"/>
      <c r="G902" s="211"/>
      <c r="H902" s="211"/>
      <c r="I902" s="211"/>
    </row>
    <row r="903" spans="1:9" ht="15.75" thickBot="1" x14ac:dyDescent="0.3">
      <c r="A903" s="211"/>
      <c r="B903" s="211"/>
      <c r="C903" s="211"/>
      <c r="D903" s="211"/>
      <c r="E903" s="211"/>
      <c r="F903" s="211"/>
      <c r="G903" s="211"/>
      <c r="H903" s="211"/>
      <c r="I903" s="211"/>
    </row>
    <row r="904" spans="1:9" ht="15.75" thickBot="1" x14ac:dyDescent="0.3">
      <c r="A904" s="211"/>
      <c r="B904" s="211"/>
      <c r="C904" s="211"/>
      <c r="D904" s="211"/>
      <c r="E904" s="211"/>
      <c r="F904" s="211"/>
      <c r="G904" s="211"/>
      <c r="H904" s="211"/>
      <c r="I904" s="211"/>
    </row>
    <row r="905" spans="1:9" ht="15.75" thickBot="1" x14ac:dyDescent="0.3">
      <c r="A905" s="211"/>
      <c r="B905" s="211"/>
      <c r="C905" s="211"/>
      <c r="D905" s="211"/>
      <c r="E905" s="211"/>
      <c r="F905" s="211"/>
      <c r="G905" s="211"/>
      <c r="H905" s="211"/>
      <c r="I905" s="211"/>
    </row>
    <row r="906" spans="1:9" ht="15.75" thickBot="1" x14ac:dyDescent="0.3">
      <c r="A906" s="211"/>
      <c r="B906" s="211"/>
      <c r="C906" s="211"/>
      <c r="D906" s="211"/>
      <c r="E906" s="211"/>
      <c r="F906" s="211"/>
      <c r="G906" s="211"/>
      <c r="H906" s="211"/>
      <c r="I906" s="211"/>
    </row>
    <row r="907" spans="1:9" ht="15.75" thickBot="1" x14ac:dyDescent="0.3">
      <c r="A907" s="211"/>
      <c r="B907" s="211"/>
      <c r="C907" s="211"/>
      <c r="D907" s="211"/>
      <c r="E907" s="211"/>
      <c r="F907" s="211"/>
      <c r="G907" s="211"/>
      <c r="H907" s="211"/>
      <c r="I907" s="211"/>
    </row>
    <row r="908" spans="1:9" ht="15.75" thickBot="1" x14ac:dyDescent="0.3">
      <c r="A908" s="211"/>
      <c r="B908" s="211"/>
      <c r="C908" s="211"/>
      <c r="D908" s="211"/>
      <c r="E908" s="211"/>
      <c r="F908" s="211"/>
      <c r="G908" s="211"/>
      <c r="H908" s="211"/>
      <c r="I908" s="211"/>
    </row>
    <row r="909" spans="1:9" ht="15.75" thickBot="1" x14ac:dyDescent="0.3">
      <c r="A909" s="211"/>
      <c r="B909" s="211"/>
      <c r="C909" s="211"/>
      <c r="D909" s="211"/>
      <c r="E909" s="211"/>
      <c r="F909" s="211"/>
      <c r="G909" s="211"/>
      <c r="H909" s="211"/>
      <c r="I909" s="211"/>
    </row>
    <row r="910" spans="1:9" ht="15.75" thickBot="1" x14ac:dyDescent="0.3">
      <c r="A910" s="211"/>
      <c r="B910" s="211"/>
      <c r="C910" s="211"/>
      <c r="D910" s="211"/>
      <c r="E910" s="211"/>
      <c r="F910" s="211"/>
      <c r="G910" s="211"/>
      <c r="H910" s="211"/>
      <c r="I910" s="211"/>
    </row>
    <row r="911" spans="1:9" ht="15.75" thickBot="1" x14ac:dyDescent="0.3">
      <c r="A911" s="211"/>
      <c r="B911" s="211"/>
      <c r="C911" s="211"/>
      <c r="D911" s="211"/>
      <c r="E911" s="211"/>
      <c r="F911" s="211"/>
      <c r="G911" s="211"/>
      <c r="H911" s="211"/>
      <c r="I911" s="211"/>
    </row>
    <row r="912" spans="1:9" ht="15.75" thickBot="1" x14ac:dyDescent="0.3">
      <c r="A912" s="211"/>
      <c r="B912" s="211"/>
      <c r="C912" s="211"/>
      <c r="D912" s="211"/>
      <c r="E912" s="211"/>
      <c r="F912" s="211"/>
      <c r="G912" s="211"/>
      <c r="H912" s="211"/>
      <c r="I912" s="211"/>
    </row>
    <row r="913" spans="1:9" ht="15.75" thickBot="1" x14ac:dyDescent="0.3">
      <c r="A913" s="211"/>
      <c r="B913" s="211"/>
      <c r="C913" s="211"/>
      <c r="D913" s="211"/>
      <c r="E913" s="211"/>
      <c r="F913" s="211"/>
      <c r="G913" s="211"/>
      <c r="H913" s="211"/>
      <c r="I913" s="211"/>
    </row>
    <row r="914" spans="1:9" ht="15.75" thickBot="1" x14ac:dyDescent="0.3">
      <c r="A914" s="211"/>
      <c r="B914" s="211"/>
      <c r="C914" s="211"/>
      <c r="D914" s="211"/>
      <c r="E914" s="211"/>
      <c r="F914" s="211"/>
      <c r="G914" s="211"/>
      <c r="H914" s="211"/>
      <c r="I914" s="211"/>
    </row>
    <row r="915" spans="1:9" ht="15.75" thickBot="1" x14ac:dyDescent="0.3">
      <c r="A915" s="211"/>
      <c r="B915" s="211"/>
      <c r="C915" s="211"/>
      <c r="D915" s="211"/>
      <c r="E915" s="211"/>
      <c r="F915" s="211"/>
      <c r="G915" s="211"/>
      <c r="H915" s="211"/>
      <c r="I915" s="211"/>
    </row>
    <row r="916" spans="1:9" ht="15.75" thickBot="1" x14ac:dyDescent="0.3">
      <c r="A916" s="211"/>
      <c r="B916" s="211"/>
      <c r="C916" s="211"/>
      <c r="D916" s="211"/>
      <c r="E916" s="211"/>
      <c r="F916" s="211"/>
      <c r="G916" s="211"/>
      <c r="H916" s="211"/>
      <c r="I916" s="211"/>
    </row>
    <row r="917" spans="1:9" ht="15.75" thickBot="1" x14ac:dyDescent="0.3">
      <c r="A917" s="211"/>
      <c r="B917" s="211"/>
      <c r="C917" s="211"/>
      <c r="D917" s="211"/>
      <c r="E917" s="211"/>
      <c r="F917" s="211"/>
      <c r="G917" s="211"/>
      <c r="H917" s="211"/>
      <c r="I917" s="211"/>
    </row>
    <row r="918" spans="1:9" ht="15.75" thickBot="1" x14ac:dyDescent="0.3">
      <c r="A918" s="211"/>
      <c r="B918" s="211"/>
      <c r="C918" s="211"/>
      <c r="D918" s="211"/>
      <c r="E918" s="211"/>
      <c r="F918" s="211"/>
      <c r="G918" s="211"/>
      <c r="H918" s="211"/>
      <c r="I918" s="211"/>
    </row>
    <row r="919" spans="1:9" ht="15.75" thickBot="1" x14ac:dyDescent="0.3">
      <c r="A919" s="211"/>
      <c r="B919" s="211"/>
      <c r="C919" s="211"/>
      <c r="D919" s="211"/>
      <c r="E919" s="211"/>
      <c r="F919" s="211"/>
      <c r="G919" s="211"/>
      <c r="H919" s="211"/>
      <c r="I919" s="211"/>
    </row>
    <row r="920" spans="1:9" ht="15.75" thickBot="1" x14ac:dyDescent="0.3">
      <c r="A920" s="211"/>
      <c r="B920" s="211"/>
      <c r="C920" s="211"/>
      <c r="D920" s="211"/>
      <c r="E920" s="211"/>
      <c r="F920" s="211"/>
      <c r="G920" s="211"/>
      <c r="H920" s="211"/>
      <c r="I920" s="211"/>
    </row>
    <row r="921" spans="1:9" ht="15.75" thickBot="1" x14ac:dyDescent="0.3">
      <c r="A921" s="211"/>
      <c r="B921" s="211"/>
      <c r="C921" s="211"/>
      <c r="D921" s="211"/>
      <c r="E921" s="211"/>
      <c r="F921" s="211"/>
      <c r="G921" s="211"/>
      <c r="H921" s="211"/>
      <c r="I921" s="211"/>
    </row>
    <row r="922" spans="1:9" ht="15.75" thickBot="1" x14ac:dyDescent="0.3">
      <c r="A922" s="211"/>
      <c r="B922" s="211"/>
      <c r="C922" s="211"/>
      <c r="D922" s="211"/>
      <c r="E922" s="211"/>
      <c r="F922" s="211"/>
      <c r="G922" s="211"/>
      <c r="H922" s="211"/>
      <c r="I922" s="211"/>
    </row>
    <row r="923" spans="1:9" ht="15.75" thickBot="1" x14ac:dyDescent="0.3">
      <c r="A923" s="211"/>
      <c r="B923" s="211"/>
      <c r="C923" s="211"/>
      <c r="D923" s="211"/>
      <c r="E923" s="211"/>
      <c r="F923" s="211"/>
      <c r="G923" s="211"/>
      <c r="H923" s="211"/>
      <c r="I923" s="211"/>
    </row>
    <row r="924" spans="1:9" ht="15.75" thickBot="1" x14ac:dyDescent="0.3">
      <c r="A924" s="211"/>
      <c r="B924" s="211"/>
      <c r="C924" s="211"/>
      <c r="D924" s="211"/>
      <c r="E924" s="211"/>
      <c r="F924" s="211"/>
      <c r="G924" s="211"/>
      <c r="H924" s="211"/>
      <c r="I924" s="211"/>
    </row>
    <row r="925" spans="1:9" ht="15.75" thickBot="1" x14ac:dyDescent="0.3">
      <c r="A925" s="211"/>
      <c r="B925" s="211"/>
      <c r="C925" s="211"/>
      <c r="D925" s="211"/>
      <c r="E925" s="211"/>
      <c r="F925" s="211"/>
      <c r="G925" s="211"/>
      <c r="H925" s="211"/>
      <c r="I925" s="211"/>
    </row>
    <row r="926" spans="1:9" ht="15.75" thickBot="1" x14ac:dyDescent="0.3">
      <c r="A926" s="211"/>
      <c r="B926" s="211"/>
      <c r="C926" s="211"/>
      <c r="D926" s="211"/>
      <c r="E926" s="211"/>
      <c r="F926" s="211"/>
      <c r="G926" s="211"/>
      <c r="H926" s="211"/>
      <c r="I926" s="211"/>
    </row>
    <row r="927" spans="1:9" ht="15.75" thickBot="1" x14ac:dyDescent="0.3">
      <c r="A927" s="211"/>
      <c r="B927" s="211"/>
      <c r="C927" s="211"/>
      <c r="D927" s="211"/>
      <c r="E927" s="211"/>
      <c r="F927" s="211"/>
      <c r="G927" s="211"/>
      <c r="H927" s="211"/>
      <c r="I927" s="211"/>
    </row>
    <row r="928" spans="1:9" ht="15.75" thickBot="1" x14ac:dyDescent="0.3">
      <c r="A928" s="211"/>
      <c r="B928" s="211"/>
      <c r="C928" s="211"/>
      <c r="D928" s="211"/>
      <c r="E928" s="211"/>
      <c r="F928" s="211"/>
      <c r="G928" s="211"/>
      <c r="H928" s="211"/>
      <c r="I928" s="211"/>
    </row>
    <row r="929" spans="1:9" ht="15.75" thickBot="1" x14ac:dyDescent="0.3">
      <c r="A929" s="211"/>
      <c r="B929" s="211"/>
      <c r="C929" s="211"/>
      <c r="D929" s="211"/>
      <c r="E929" s="211"/>
      <c r="F929" s="211"/>
      <c r="G929" s="211"/>
      <c r="H929" s="211"/>
      <c r="I929" s="211"/>
    </row>
    <row r="930" spans="1:9" ht="15.75" thickBot="1" x14ac:dyDescent="0.3">
      <c r="A930" s="211"/>
      <c r="B930" s="211"/>
      <c r="C930" s="211"/>
      <c r="D930" s="211"/>
      <c r="E930" s="211"/>
      <c r="F930" s="211"/>
      <c r="G930" s="211"/>
      <c r="H930" s="211"/>
      <c r="I930" s="211"/>
    </row>
    <row r="931" spans="1:9" ht="15.75" thickBot="1" x14ac:dyDescent="0.3">
      <c r="A931" s="211"/>
      <c r="B931" s="211"/>
      <c r="C931" s="211"/>
      <c r="D931" s="211"/>
      <c r="E931" s="211"/>
      <c r="F931" s="211"/>
      <c r="G931" s="211"/>
      <c r="H931" s="211"/>
      <c r="I931" s="211"/>
    </row>
    <row r="932" spans="1:9" ht="15.75" thickBot="1" x14ac:dyDescent="0.3">
      <c r="A932" s="211"/>
      <c r="B932" s="211"/>
      <c r="C932" s="211"/>
      <c r="D932" s="211"/>
      <c r="E932" s="211"/>
      <c r="F932" s="211"/>
      <c r="G932" s="211"/>
      <c r="H932" s="211"/>
      <c r="I932" s="211"/>
    </row>
    <row r="933" spans="1:9" ht="15.75" thickBot="1" x14ac:dyDescent="0.3">
      <c r="A933" s="211"/>
      <c r="B933" s="211"/>
      <c r="C933" s="211"/>
      <c r="D933" s="211"/>
      <c r="E933" s="211"/>
      <c r="F933" s="211"/>
      <c r="G933" s="211"/>
      <c r="H933" s="211"/>
      <c r="I933" s="211"/>
    </row>
    <row r="934" spans="1:9" ht="15.75" thickBot="1" x14ac:dyDescent="0.3">
      <c r="A934" s="211"/>
      <c r="B934" s="211"/>
      <c r="C934" s="211"/>
      <c r="D934" s="211"/>
      <c r="E934" s="211"/>
      <c r="F934" s="211"/>
      <c r="G934" s="211"/>
      <c r="H934" s="211"/>
      <c r="I934" s="211"/>
    </row>
    <row r="935" spans="1:9" ht="15.75" thickBot="1" x14ac:dyDescent="0.3">
      <c r="A935" s="211"/>
      <c r="B935" s="211"/>
      <c r="C935" s="211"/>
      <c r="D935" s="211"/>
      <c r="E935" s="211"/>
      <c r="F935" s="211"/>
      <c r="G935" s="211"/>
      <c r="H935" s="211"/>
      <c r="I935" s="211"/>
    </row>
    <row r="936" spans="1:9" ht="15.75" thickBot="1" x14ac:dyDescent="0.3">
      <c r="A936" s="211"/>
      <c r="B936" s="211"/>
      <c r="C936" s="211"/>
      <c r="D936" s="211"/>
      <c r="E936" s="211"/>
      <c r="F936" s="211"/>
      <c r="G936" s="211"/>
      <c r="H936" s="211"/>
      <c r="I936" s="211"/>
    </row>
    <row r="937" spans="1:9" ht="15.75" thickBot="1" x14ac:dyDescent="0.3">
      <c r="A937" s="211"/>
      <c r="B937" s="211"/>
      <c r="C937" s="211"/>
      <c r="D937" s="211"/>
      <c r="E937" s="211"/>
      <c r="F937" s="211"/>
      <c r="G937" s="211"/>
      <c r="H937" s="211"/>
      <c r="I937" s="211"/>
    </row>
    <row r="938" spans="1:9" ht="15.75" thickBot="1" x14ac:dyDescent="0.3">
      <c r="A938" s="211"/>
      <c r="B938" s="211"/>
      <c r="C938" s="211"/>
      <c r="D938" s="211"/>
      <c r="E938" s="211"/>
      <c r="F938" s="211"/>
      <c r="G938" s="211"/>
      <c r="H938" s="211"/>
      <c r="I938" s="211"/>
    </row>
    <row r="939" spans="1:9" ht="15.75" thickBot="1" x14ac:dyDescent="0.3">
      <c r="A939" s="211"/>
      <c r="B939" s="211"/>
      <c r="C939" s="211"/>
      <c r="D939" s="211"/>
      <c r="E939" s="211"/>
      <c r="F939" s="211"/>
      <c r="G939" s="211"/>
      <c r="H939" s="211"/>
      <c r="I939" s="211"/>
    </row>
    <row r="940" spans="1:9" ht="15.75" thickBot="1" x14ac:dyDescent="0.3">
      <c r="A940" s="211"/>
      <c r="B940" s="211"/>
      <c r="C940" s="211"/>
      <c r="D940" s="211"/>
      <c r="E940" s="211"/>
      <c r="F940" s="211"/>
      <c r="G940" s="211"/>
      <c r="H940" s="211"/>
      <c r="I940" s="211"/>
    </row>
    <row r="941" spans="1:9" ht="15.75" thickBot="1" x14ac:dyDescent="0.3">
      <c r="A941" s="211"/>
      <c r="B941" s="211"/>
      <c r="C941" s="211"/>
      <c r="D941" s="211"/>
      <c r="E941" s="211"/>
      <c r="F941" s="211"/>
      <c r="G941" s="211"/>
      <c r="H941" s="211"/>
      <c r="I941" s="211"/>
    </row>
    <row r="942" spans="1:9" ht="15.75" thickBot="1" x14ac:dyDescent="0.3">
      <c r="A942" s="211"/>
      <c r="B942" s="211"/>
      <c r="C942" s="211"/>
      <c r="D942" s="211"/>
      <c r="E942" s="211"/>
      <c r="F942" s="211"/>
      <c r="G942" s="211"/>
      <c r="H942" s="211"/>
      <c r="I942" s="211"/>
    </row>
    <row r="943" spans="1:9" ht="15.75" thickBot="1" x14ac:dyDescent="0.3">
      <c r="A943" s="211"/>
      <c r="B943" s="211"/>
      <c r="C943" s="211"/>
      <c r="D943" s="211"/>
      <c r="E943" s="211"/>
      <c r="F943" s="211"/>
      <c r="G943" s="211"/>
      <c r="H943" s="211"/>
      <c r="I943" s="211"/>
    </row>
    <row r="944" spans="1:9" ht="15.75" thickBot="1" x14ac:dyDescent="0.3">
      <c r="A944" s="211"/>
      <c r="B944" s="211"/>
      <c r="C944" s="211"/>
      <c r="D944" s="211"/>
      <c r="E944" s="211"/>
      <c r="F944" s="211"/>
      <c r="G944" s="211"/>
      <c r="H944" s="211"/>
      <c r="I944" s="211"/>
    </row>
    <row r="945" spans="1:9" ht="15.75" thickBot="1" x14ac:dyDescent="0.3">
      <c r="A945" s="211"/>
      <c r="B945" s="211"/>
      <c r="C945" s="211"/>
      <c r="D945" s="211"/>
      <c r="E945" s="211"/>
      <c r="F945" s="211"/>
      <c r="G945" s="211"/>
      <c r="H945" s="211"/>
      <c r="I945" s="211"/>
    </row>
    <row r="946" spans="1:9" ht="15.75" thickBot="1" x14ac:dyDescent="0.3">
      <c r="A946" s="211"/>
      <c r="B946" s="211"/>
      <c r="C946" s="211"/>
      <c r="D946" s="211"/>
      <c r="E946" s="211"/>
      <c r="F946" s="211"/>
      <c r="G946" s="211"/>
      <c r="H946" s="211"/>
      <c r="I946" s="211"/>
    </row>
    <row r="947" spans="1:9" ht="15.75" thickBot="1" x14ac:dyDescent="0.3">
      <c r="A947" s="211"/>
      <c r="B947" s="211"/>
      <c r="C947" s="211"/>
      <c r="D947" s="211"/>
      <c r="E947" s="211"/>
      <c r="F947" s="211"/>
      <c r="G947" s="211"/>
      <c r="H947" s="211"/>
      <c r="I947" s="211"/>
    </row>
    <row r="948" spans="1:9" ht="15.75" thickBot="1" x14ac:dyDescent="0.3">
      <c r="A948" s="211"/>
      <c r="B948" s="211"/>
      <c r="C948" s="211"/>
      <c r="D948" s="211"/>
      <c r="E948" s="211"/>
      <c r="F948" s="211"/>
      <c r="G948" s="211"/>
      <c r="H948" s="211"/>
      <c r="I948" s="211"/>
    </row>
    <row r="949" spans="1:9" ht="15.75" thickBot="1" x14ac:dyDescent="0.3">
      <c r="A949" s="211"/>
      <c r="B949" s="211"/>
      <c r="C949" s="211"/>
      <c r="D949" s="211"/>
      <c r="E949" s="211"/>
      <c r="F949" s="211"/>
      <c r="G949" s="211"/>
      <c r="H949" s="211"/>
      <c r="I949" s="211"/>
    </row>
    <row r="950" spans="1:9" ht="15.75" thickBot="1" x14ac:dyDescent="0.3">
      <c r="A950" s="211"/>
      <c r="B950" s="211"/>
      <c r="C950" s="211"/>
      <c r="D950" s="211"/>
      <c r="E950" s="211"/>
      <c r="F950" s="211"/>
      <c r="G950" s="211"/>
      <c r="H950" s="211"/>
      <c r="I950" s="211"/>
    </row>
    <row r="951" spans="1:9" ht="15.75" thickBot="1" x14ac:dyDescent="0.3">
      <c r="A951" s="211"/>
      <c r="B951" s="211"/>
      <c r="C951" s="211"/>
      <c r="D951" s="211"/>
      <c r="E951" s="211"/>
      <c r="F951" s="211"/>
      <c r="G951" s="211"/>
      <c r="H951" s="211"/>
      <c r="I951" s="211"/>
    </row>
    <row r="952" spans="1:9" ht="15.75" thickBot="1" x14ac:dyDescent="0.3">
      <c r="A952" s="211"/>
      <c r="B952" s="211"/>
      <c r="C952" s="211"/>
      <c r="D952" s="211"/>
      <c r="E952" s="211"/>
      <c r="F952" s="211"/>
      <c r="G952" s="211"/>
      <c r="H952" s="211"/>
      <c r="I952" s="211"/>
    </row>
    <row r="953" spans="1:9" ht="15.75" thickBot="1" x14ac:dyDescent="0.3">
      <c r="A953" s="211"/>
      <c r="B953" s="211"/>
      <c r="C953" s="211"/>
      <c r="D953" s="211"/>
      <c r="E953" s="211"/>
      <c r="F953" s="211"/>
      <c r="G953" s="211"/>
      <c r="H953" s="211"/>
      <c r="I953" s="211"/>
    </row>
    <row r="954" spans="1:9" ht="15.75" thickBot="1" x14ac:dyDescent="0.3">
      <c r="A954" s="211"/>
      <c r="B954" s="211"/>
      <c r="C954" s="211"/>
      <c r="D954" s="211"/>
      <c r="E954" s="211"/>
      <c r="F954" s="211"/>
      <c r="G954" s="211"/>
      <c r="H954" s="211"/>
      <c r="I954" s="211"/>
    </row>
    <row r="955" spans="1:9" ht="15.75" thickBot="1" x14ac:dyDescent="0.3">
      <c r="A955" s="211"/>
      <c r="B955" s="211"/>
      <c r="C955" s="211"/>
      <c r="D955" s="211"/>
      <c r="E955" s="211"/>
      <c r="F955" s="211"/>
      <c r="G955" s="211"/>
      <c r="H955" s="211"/>
      <c r="I955" s="211"/>
    </row>
    <row r="956" spans="1:9" ht="15.75" thickBot="1" x14ac:dyDescent="0.3">
      <c r="A956" s="211"/>
      <c r="B956" s="211"/>
      <c r="C956" s="211"/>
      <c r="D956" s="211"/>
      <c r="E956" s="211"/>
      <c r="F956" s="211"/>
      <c r="G956" s="211"/>
      <c r="H956" s="211"/>
      <c r="I956" s="211"/>
    </row>
    <row r="957" spans="1:9" ht="15.75" thickBot="1" x14ac:dyDescent="0.3">
      <c r="A957" s="211"/>
      <c r="B957" s="211"/>
      <c r="C957" s="211"/>
      <c r="D957" s="211"/>
      <c r="E957" s="211"/>
      <c r="F957" s="211"/>
      <c r="G957" s="211"/>
      <c r="H957" s="211"/>
      <c r="I957" s="211"/>
    </row>
    <row r="958" spans="1:9" ht="15.75" thickBot="1" x14ac:dyDescent="0.3">
      <c r="A958" s="211"/>
      <c r="B958" s="211"/>
      <c r="C958" s="211"/>
      <c r="D958" s="211"/>
      <c r="E958" s="211"/>
      <c r="F958" s="211"/>
      <c r="G958" s="211"/>
      <c r="H958" s="211"/>
      <c r="I958" s="211"/>
    </row>
    <row r="959" spans="1:9" ht="15.75" thickBot="1" x14ac:dyDescent="0.3">
      <c r="A959" s="211"/>
      <c r="B959" s="211"/>
      <c r="C959" s="211"/>
      <c r="D959" s="211"/>
      <c r="E959" s="211"/>
      <c r="F959" s="211"/>
      <c r="G959" s="211"/>
      <c r="H959" s="211"/>
      <c r="I959" s="211"/>
    </row>
    <row r="960" spans="1:9" ht="15.75" thickBot="1" x14ac:dyDescent="0.3">
      <c r="A960" s="211"/>
      <c r="B960" s="211"/>
      <c r="C960" s="211"/>
      <c r="D960" s="211"/>
      <c r="E960" s="211"/>
      <c r="F960" s="211"/>
      <c r="G960" s="211"/>
      <c r="H960" s="211"/>
      <c r="I960" s="211"/>
    </row>
    <row r="961" spans="1:9" ht="15.75" thickBot="1" x14ac:dyDescent="0.3">
      <c r="A961" s="211"/>
      <c r="B961" s="211"/>
      <c r="C961" s="211"/>
      <c r="D961" s="211"/>
      <c r="E961" s="211"/>
      <c r="F961" s="211"/>
      <c r="G961" s="211"/>
      <c r="H961" s="211"/>
      <c r="I961" s="211"/>
    </row>
    <row r="962" spans="1:9" ht="15.75" thickBot="1" x14ac:dyDescent="0.3">
      <c r="A962" s="211"/>
      <c r="B962" s="211"/>
      <c r="C962" s="211"/>
      <c r="D962" s="211"/>
      <c r="E962" s="211"/>
      <c r="F962" s="211"/>
      <c r="G962" s="211"/>
      <c r="H962" s="211"/>
      <c r="I962" s="211"/>
    </row>
    <row r="963" spans="1:9" ht="15.75" thickBot="1" x14ac:dyDescent="0.3">
      <c r="A963" s="211"/>
      <c r="B963" s="211"/>
      <c r="C963" s="211"/>
      <c r="D963" s="211"/>
      <c r="E963" s="211"/>
      <c r="F963" s="211"/>
      <c r="G963" s="211"/>
      <c r="H963" s="211"/>
      <c r="I963" s="211"/>
    </row>
    <row r="964" spans="1:9" ht="15.75" thickBot="1" x14ac:dyDescent="0.3">
      <c r="A964" s="211"/>
      <c r="B964" s="211"/>
      <c r="C964" s="211"/>
      <c r="D964" s="211"/>
      <c r="E964" s="211"/>
      <c r="F964" s="211"/>
      <c r="G964" s="211"/>
      <c r="H964" s="211"/>
      <c r="I964" s="211"/>
    </row>
    <row r="965" spans="1:9" ht="15.75" thickBot="1" x14ac:dyDescent="0.3">
      <c r="A965" s="211"/>
      <c r="B965" s="211"/>
      <c r="C965" s="211"/>
      <c r="D965" s="211"/>
      <c r="E965" s="211"/>
      <c r="F965" s="211"/>
      <c r="G965" s="211"/>
      <c r="H965" s="211"/>
      <c r="I965" s="211"/>
    </row>
    <row r="966" spans="1:9" ht="15.75" thickBot="1" x14ac:dyDescent="0.3">
      <c r="A966" s="211"/>
      <c r="B966" s="211"/>
      <c r="C966" s="211"/>
      <c r="D966" s="211"/>
      <c r="E966" s="211"/>
      <c r="F966" s="211"/>
      <c r="G966" s="211"/>
      <c r="H966" s="211"/>
      <c r="I966" s="211"/>
    </row>
    <row r="967" spans="1:9" ht="15.75" thickBot="1" x14ac:dyDescent="0.3">
      <c r="A967" s="211"/>
      <c r="B967" s="211"/>
      <c r="C967" s="211"/>
      <c r="D967" s="211"/>
      <c r="E967" s="211"/>
      <c r="F967" s="211"/>
      <c r="G967" s="211"/>
      <c r="H967" s="211"/>
      <c r="I967" s="211"/>
    </row>
    <row r="968" spans="1:9" ht="15.75" thickBot="1" x14ac:dyDescent="0.3">
      <c r="A968" s="211"/>
      <c r="B968" s="211"/>
      <c r="C968" s="211"/>
      <c r="D968" s="211"/>
      <c r="E968" s="211"/>
      <c r="F968" s="211"/>
      <c r="G968" s="211"/>
      <c r="H968" s="211"/>
      <c r="I968" s="211"/>
    </row>
    <row r="969" spans="1:9" ht="15.75" thickBot="1" x14ac:dyDescent="0.3">
      <c r="A969" s="211"/>
      <c r="B969" s="211"/>
      <c r="C969" s="211"/>
      <c r="D969" s="211"/>
      <c r="E969" s="211"/>
      <c r="F969" s="211"/>
      <c r="G969" s="211"/>
      <c r="H969" s="211"/>
      <c r="I969" s="211"/>
    </row>
    <row r="970" spans="1:9" ht="15.75" thickBot="1" x14ac:dyDescent="0.3">
      <c r="A970" s="211"/>
      <c r="B970" s="211"/>
      <c r="C970" s="211"/>
      <c r="D970" s="211"/>
      <c r="E970" s="211"/>
      <c r="F970" s="211"/>
      <c r="G970" s="211"/>
      <c r="H970" s="211"/>
      <c r="I970" s="211"/>
    </row>
    <row r="971" spans="1:9" ht="15.75" thickBot="1" x14ac:dyDescent="0.3">
      <c r="A971" s="211"/>
      <c r="B971" s="211"/>
      <c r="C971" s="211"/>
      <c r="D971" s="211"/>
      <c r="E971" s="211"/>
      <c r="F971" s="211"/>
      <c r="G971" s="211"/>
      <c r="H971" s="211"/>
      <c r="I971" s="211"/>
    </row>
    <row r="972" spans="1:9" ht="15.75" thickBot="1" x14ac:dyDescent="0.3">
      <c r="A972" s="211"/>
      <c r="B972" s="211"/>
      <c r="C972" s="211"/>
      <c r="D972" s="211"/>
      <c r="E972" s="211"/>
      <c r="F972" s="211"/>
      <c r="G972" s="211"/>
      <c r="H972" s="211"/>
      <c r="I972" s="211"/>
    </row>
    <row r="973" spans="1:9" ht="15.75" thickBot="1" x14ac:dyDescent="0.3">
      <c r="A973" s="211"/>
      <c r="B973" s="211"/>
      <c r="C973" s="211"/>
      <c r="D973" s="211"/>
      <c r="E973" s="211"/>
      <c r="F973" s="211"/>
      <c r="G973" s="211"/>
      <c r="H973" s="211"/>
      <c r="I973" s="211"/>
    </row>
    <row r="974" spans="1:9" ht="15.75" thickBot="1" x14ac:dyDescent="0.3">
      <c r="A974" s="211"/>
      <c r="B974" s="211"/>
      <c r="C974" s="211"/>
      <c r="D974" s="211"/>
      <c r="E974" s="211"/>
      <c r="F974" s="211"/>
      <c r="G974" s="211"/>
      <c r="H974" s="211"/>
      <c r="I974" s="211"/>
    </row>
    <row r="975" spans="1:9" ht="15.75" thickBot="1" x14ac:dyDescent="0.3">
      <c r="A975" s="211"/>
      <c r="B975" s="211"/>
      <c r="C975" s="211"/>
      <c r="D975" s="211"/>
      <c r="E975" s="211"/>
      <c r="F975" s="211"/>
      <c r="G975" s="211"/>
      <c r="H975" s="211"/>
      <c r="I975" s="211"/>
    </row>
    <row r="976" spans="1:9" ht="15.75" thickBot="1" x14ac:dyDescent="0.3">
      <c r="A976" s="211"/>
      <c r="B976" s="211"/>
      <c r="C976" s="211"/>
      <c r="D976" s="211"/>
      <c r="E976" s="211"/>
      <c r="F976" s="211"/>
      <c r="G976" s="211"/>
      <c r="H976" s="211"/>
      <c r="I976" s="211"/>
    </row>
    <row r="977" spans="1:9" ht="15.75" thickBot="1" x14ac:dyDescent="0.3">
      <c r="A977" s="211"/>
      <c r="B977" s="211"/>
      <c r="C977" s="211"/>
      <c r="D977" s="211"/>
      <c r="E977" s="211"/>
      <c r="F977" s="211"/>
      <c r="G977" s="211"/>
      <c r="H977" s="211"/>
      <c r="I977" s="211"/>
    </row>
    <row r="978" spans="1:9" ht="15.75" thickBot="1" x14ac:dyDescent="0.3">
      <c r="A978" s="211"/>
      <c r="B978" s="211"/>
      <c r="C978" s="211"/>
      <c r="D978" s="211"/>
      <c r="E978" s="211"/>
      <c r="F978" s="211"/>
      <c r="G978" s="211"/>
      <c r="H978" s="211"/>
      <c r="I978" s="211"/>
    </row>
    <row r="979" spans="1:9" ht="15.75" thickBot="1" x14ac:dyDescent="0.3">
      <c r="A979" s="211"/>
      <c r="B979" s="211"/>
      <c r="C979" s="211"/>
      <c r="D979" s="211"/>
      <c r="E979" s="211"/>
      <c r="F979" s="211"/>
      <c r="G979" s="211"/>
      <c r="H979" s="211"/>
      <c r="I979" s="211"/>
    </row>
    <row r="980" spans="1:9" ht="15.75" thickBot="1" x14ac:dyDescent="0.3">
      <c r="A980" s="211"/>
      <c r="B980" s="211"/>
      <c r="C980" s="211"/>
      <c r="D980" s="211"/>
      <c r="E980" s="211"/>
      <c r="F980" s="211"/>
      <c r="G980" s="211"/>
      <c r="H980" s="211"/>
      <c r="I980" s="211"/>
    </row>
    <row r="981" spans="1:9" ht="15.75" thickBot="1" x14ac:dyDescent="0.3">
      <c r="A981" s="211"/>
      <c r="B981" s="211"/>
      <c r="C981" s="211"/>
      <c r="D981" s="211"/>
      <c r="E981" s="211"/>
      <c r="F981" s="211"/>
      <c r="G981" s="211"/>
      <c r="H981" s="211"/>
      <c r="I981" s="211"/>
    </row>
    <row r="982" spans="1:9" ht="15.75" thickBot="1" x14ac:dyDescent="0.3">
      <c r="A982" s="211"/>
      <c r="B982" s="211"/>
      <c r="C982" s="211"/>
      <c r="D982" s="211"/>
      <c r="E982" s="211"/>
      <c r="F982" s="211"/>
      <c r="G982" s="211"/>
      <c r="H982" s="211"/>
      <c r="I982" s="211"/>
    </row>
    <row r="983" spans="1:9" ht="15.75" thickBot="1" x14ac:dyDescent="0.3">
      <c r="A983" s="211"/>
      <c r="B983" s="211"/>
      <c r="C983" s="211"/>
      <c r="D983" s="211"/>
      <c r="E983" s="211"/>
      <c r="F983" s="211"/>
      <c r="G983" s="211"/>
      <c r="H983" s="211"/>
      <c r="I983" s="211"/>
    </row>
    <row r="984" spans="1:9" ht="15.75" thickBot="1" x14ac:dyDescent="0.3">
      <c r="A984" s="211"/>
      <c r="B984" s="211"/>
      <c r="C984" s="211"/>
      <c r="D984" s="211"/>
      <c r="E984" s="211"/>
      <c r="F984" s="211"/>
      <c r="G984" s="211"/>
      <c r="H984" s="211"/>
      <c r="I984" s="211"/>
    </row>
    <row r="985" spans="1:9" ht="15.75" thickBot="1" x14ac:dyDescent="0.3">
      <c r="A985" s="211"/>
      <c r="B985" s="211"/>
      <c r="C985" s="211"/>
      <c r="D985" s="211"/>
      <c r="E985" s="211"/>
      <c r="F985" s="211"/>
      <c r="G985" s="211"/>
      <c r="H985" s="211"/>
      <c r="I985" s="211"/>
    </row>
    <row r="986" spans="1:9" ht="15.75" thickBot="1" x14ac:dyDescent="0.3">
      <c r="A986" s="211"/>
      <c r="B986" s="211"/>
      <c r="C986" s="211"/>
      <c r="D986" s="211"/>
      <c r="E986" s="211"/>
      <c r="F986" s="211"/>
      <c r="G986" s="211"/>
      <c r="H986" s="211"/>
      <c r="I986" s="211"/>
    </row>
    <row r="987" spans="1:9" ht="15.75" thickBot="1" x14ac:dyDescent="0.3">
      <c r="A987" s="211"/>
      <c r="B987" s="211"/>
      <c r="C987" s="211"/>
      <c r="D987" s="211"/>
      <c r="E987" s="211"/>
      <c r="F987" s="211"/>
      <c r="G987" s="211"/>
      <c r="H987" s="211"/>
      <c r="I987" s="211"/>
    </row>
    <row r="988" spans="1:9" ht="15.75" thickBot="1" x14ac:dyDescent="0.3">
      <c r="A988" s="211"/>
      <c r="B988" s="211"/>
      <c r="C988" s="211"/>
      <c r="D988" s="211"/>
      <c r="E988" s="211"/>
      <c r="F988" s="211"/>
      <c r="G988" s="211"/>
      <c r="H988" s="211"/>
      <c r="I988" s="211"/>
    </row>
    <row r="989" spans="1:9" ht="15.75" thickBot="1" x14ac:dyDescent="0.3">
      <c r="A989" s="211"/>
      <c r="B989" s="211"/>
      <c r="C989" s="211"/>
      <c r="D989" s="211"/>
      <c r="E989" s="211"/>
      <c r="F989" s="211"/>
      <c r="G989" s="211"/>
      <c r="H989" s="211"/>
      <c r="I989" s="211"/>
    </row>
    <row r="990" spans="1:9" ht="15.75" thickBot="1" x14ac:dyDescent="0.3">
      <c r="A990" s="211"/>
      <c r="B990" s="211"/>
      <c r="C990" s="211"/>
      <c r="D990" s="211"/>
      <c r="E990" s="211"/>
      <c r="F990" s="211"/>
      <c r="G990" s="211"/>
      <c r="H990" s="211"/>
      <c r="I990" s="211"/>
    </row>
    <row r="991" spans="1:9" ht="15.75" thickBot="1" x14ac:dyDescent="0.3">
      <c r="A991" s="211"/>
      <c r="B991" s="211"/>
      <c r="C991" s="211"/>
      <c r="D991" s="211"/>
      <c r="E991" s="211"/>
      <c r="F991" s="211"/>
      <c r="G991" s="211"/>
      <c r="H991" s="211"/>
      <c r="I991" s="211"/>
    </row>
    <row r="992" spans="1:9" ht="15.75" thickBot="1" x14ac:dyDescent="0.3">
      <c r="A992" s="211"/>
      <c r="B992" s="211"/>
      <c r="C992" s="211"/>
      <c r="D992" s="211"/>
      <c r="E992" s="211"/>
      <c r="F992" s="211"/>
      <c r="G992" s="211"/>
      <c r="H992" s="211"/>
      <c r="I992" s="211"/>
    </row>
    <row r="993" spans="1:9" ht="15.75" thickBot="1" x14ac:dyDescent="0.3">
      <c r="A993" s="211"/>
      <c r="B993" s="211"/>
      <c r="C993" s="211"/>
      <c r="D993" s="211"/>
      <c r="E993" s="211"/>
      <c r="F993" s="211"/>
      <c r="G993" s="211"/>
      <c r="H993" s="211"/>
      <c r="I993" s="211"/>
    </row>
    <row r="994" spans="1:9" ht="15.75" thickBot="1" x14ac:dyDescent="0.3">
      <c r="A994" s="211"/>
      <c r="B994" s="211"/>
      <c r="C994" s="211"/>
      <c r="D994" s="211"/>
      <c r="E994" s="211"/>
      <c r="F994" s="211"/>
      <c r="G994" s="211"/>
      <c r="H994" s="211"/>
      <c r="I994" s="211"/>
    </row>
    <row r="995" spans="1:9" ht="15.75" thickBot="1" x14ac:dyDescent="0.3">
      <c r="A995" s="211"/>
      <c r="B995" s="211"/>
      <c r="C995" s="211"/>
      <c r="D995" s="211"/>
      <c r="E995" s="211"/>
      <c r="F995" s="211"/>
      <c r="G995" s="211"/>
      <c r="H995" s="211"/>
      <c r="I995" s="211"/>
    </row>
    <row r="996" spans="1:9" ht="15.75" thickBot="1" x14ac:dyDescent="0.3">
      <c r="A996" s="211"/>
      <c r="B996" s="211"/>
      <c r="C996" s="211"/>
      <c r="D996" s="211"/>
      <c r="E996" s="211"/>
      <c r="F996" s="211"/>
      <c r="G996" s="211"/>
      <c r="H996" s="211"/>
      <c r="I996" s="211"/>
    </row>
    <row r="997" spans="1:9" ht="15.75" thickBot="1" x14ac:dyDescent="0.3">
      <c r="A997" s="211"/>
      <c r="B997" s="211"/>
      <c r="C997" s="211"/>
      <c r="D997" s="211"/>
      <c r="E997" s="211"/>
      <c r="F997" s="211"/>
      <c r="G997" s="211"/>
      <c r="H997" s="211"/>
      <c r="I997" s="211"/>
    </row>
    <row r="998" spans="1:9" ht="15.75" thickBot="1" x14ac:dyDescent="0.3">
      <c r="A998" s="211"/>
      <c r="B998" s="211"/>
      <c r="C998" s="211"/>
      <c r="D998" s="211"/>
      <c r="E998" s="211"/>
      <c r="F998" s="211"/>
      <c r="G998" s="211"/>
      <c r="H998" s="211"/>
      <c r="I998" s="211"/>
    </row>
    <row r="999" spans="1:9" ht="15.75" thickBot="1" x14ac:dyDescent="0.3">
      <c r="A999" s="211"/>
      <c r="B999" s="211"/>
      <c r="C999" s="211"/>
      <c r="D999" s="211"/>
      <c r="E999" s="211"/>
      <c r="F999" s="211"/>
      <c r="G999" s="211"/>
      <c r="H999" s="211"/>
      <c r="I999" s="211"/>
    </row>
    <row r="1000" spans="1:9" ht="15.75" thickBot="1" x14ac:dyDescent="0.3">
      <c r="A1000" s="211"/>
      <c r="B1000" s="211"/>
      <c r="C1000" s="211"/>
      <c r="D1000" s="211"/>
      <c r="E1000" s="211"/>
      <c r="F1000" s="211"/>
      <c r="G1000" s="211"/>
      <c r="H1000" s="211"/>
      <c r="I1000" s="211"/>
    </row>
    <row r="1001" spans="1:9" ht="15.75" thickBot="1" x14ac:dyDescent="0.3">
      <c r="A1001" s="211"/>
      <c r="B1001" s="211"/>
      <c r="C1001" s="211"/>
      <c r="D1001" s="211"/>
      <c r="E1001" s="211"/>
      <c r="F1001" s="211"/>
      <c r="G1001" s="211"/>
      <c r="H1001" s="211"/>
      <c r="I1001" s="211"/>
    </row>
    <row r="1002" spans="1:9" ht="15.75" thickBot="1" x14ac:dyDescent="0.3">
      <c r="A1002" s="211"/>
      <c r="B1002" s="211"/>
      <c r="C1002" s="211"/>
      <c r="D1002" s="211"/>
      <c r="E1002" s="211"/>
      <c r="F1002" s="211"/>
      <c r="G1002" s="211"/>
      <c r="H1002" s="211"/>
      <c r="I1002" s="211"/>
    </row>
    <row r="1003" spans="1:9" ht="15.75" thickBot="1" x14ac:dyDescent="0.3">
      <c r="A1003" s="211"/>
      <c r="B1003" s="211"/>
      <c r="C1003" s="211"/>
      <c r="D1003" s="211"/>
      <c r="E1003" s="211"/>
      <c r="F1003" s="211"/>
      <c r="G1003" s="211"/>
      <c r="H1003" s="211"/>
      <c r="I1003" s="211"/>
    </row>
    <row r="1004" spans="1:9" ht="15.75" thickBot="1" x14ac:dyDescent="0.3">
      <c r="A1004" s="211"/>
      <c r="B1004" s="211"/>
      <c r="C1004" s="211"/>
      <c r="D1004" s="211"/>
      <c r="E1004" s="211"/>
      <c r="F1004" s="211"/>
      <c r="G1004" s="211"/>
      <c r="H1004" s="211"/>
      <c r="I1004" s="211"/>
    </row>
  </sheetData>
  <mergeCells count="124">
    <mergeCell ref="A52:D53"/>
    <mergeCell ref="J52:M53"/>
    <mergeCell ref="A56:B56"/>
    <mergeCell ref="C56:D56"/>
    <mergeCell ref="J56:K56"/>
    <mergeCell ref="L56:M56"/>
    <mergeCell ref="A48:D49"/>
    <mergeCell ref="F48:F49"/>
    <mergeCell ref="J48:M49"/>
    <mergeCell ref="O48:O49"/>
    <mergeCell ref="A50:D51"/>
    <mergeCell ref="F50:F51"/>
    <mergeCell ref="J50:M51"/>
    <mergeCell ref="O50:O51"/>
    <mergeCell ref="A44:B44"/>
    <mergeCell ref="C44:F44"/>
    <mergeCell ref="J44:K44"/>
    <mergeCell ref="L44:O44"/>
    <mergeCell ref="A45:B45"/>
    <mergeCell ref="C45:F45"/>
    <mergeCell ref="J45:K45"/>
    <mergeCell ref="L45:O45"/>
    <mergeCell ref="A42:B42"/>
    <mergeCell ref="C42:F42"/>
    <mergeCell ref="J42:K42"/>
    <mergeCell ref="L42:O42"/>
    <mergeCell ref="A43:B43"/>
    <mergeCell ref="C43:F43"/>
    <mergeCell ref="J43:K43"/>
    <mergeCell ref="L43:O43"/>
    <mergeCell ref="A40:B40"/>
    <mergeCell ref="C40:F40"/>
    <mergeCell ref="J40:K40"/>
    <mergeCell ref="L40:O40"/>
    <mergeCell ref="A41:B41"/>
    <mergeCell ref="C41:F41"/>
    <mergeCell ref="J41:K41"/>
    <mergeCell ref="L41:O41"/>
    <mergeCell ref="A38:B38"/>
    <mergeCell ref="C38:F38"/>
    <mergeCell ref="J38:K38"/>
    <mergeCell ref="L38:O38"/>
    <mergeCell ref="A39:B39"/>
    <mergeCell ref="C39:F39"/>
    <mergeCell ref="J39:K39"/>
    <mergeCell ref="L39:O39"/>
    <mergeCell ref="A36:B36"/>
    <mergeCell ref="C36:F36"/>
    <mergeCell ref="J36:K36"/>
    <mergeCell ref="L36:O36"/>
    <mergeCell ref="A37:B37"/>
    <mergeCell ref="C37:F37"/>
    <mergeCell ref="J37:K37"/>
    <mergeCell ref="L37:O37"/>
    <mergeCell ref="A34:B34"/>
    <mergeCell ref="C34:F34"/>
    <mergeCell ref="J34:K34"/>
    <mergeCell ref="L34:O34"/>
    <mergeCell ref="A35:B35"/>
    <mergeCell ref="C35:F35"/>
    <mergeCell ref="J35:K35"/>
    <mergeCell ref="L35:O35"/>
    <mergeCell ref="A32:B32"/>
    <mergeCell ref="C32:F32"/>
    <mergeCell ref="J32:K32"/>
    <mergeCell ref="L32:O32"/>
    <mergeCell ref="A33:B33"/>
    <mergeCell ref="C33:F33"/>
    <mergeCell ref="J33:K33"/>
    <mergeCell ref="L33:O33"/>
    <mergeCell ref="A30:B30"/>
    <mergeCell ref="C30:F30"/>
    <mergeCell ref="J30:K30"/>
    <mergeCell ref="L30:O30"/>
    <mergeCell ref="A31:B31"/>
    <mergeCell ref="C31:F31"/>
    <mergeCell ref="J31:K31"/>
    <mergeCell ref="L31:O31"/>
    <mergeCell ref="A28:B28"/>
    <mergeCell ref="C28:F28"/>
    <mergeCell ref="J28:K28"/>
    <mergeCell ref="L28:O28"/>
    <mergeCell ref="A29:B29"/>
    <mergeCell ref="C29:F29"/>
    <mergeCell ref="J29:K29"/>
    <mergeCell ref="L29:O29"/>
    <mergeCell ref="A26:B26"/>
    <mergeCell ref="C26:F26"/>
    <mergeCell ref="J26:K26"/>
    <mergeCell ref="L26:O26"/>
    <mergeCell ref="A27:B27"/>
    <mergeCell ref="C27:F27"/>
    <mergeCell ref="J27:K27"/>
    <mergeCell ref="L27:O27"/>
    <mergeCell ref="C21:F21"/>
    <mergeCell ref="L21:O21"/>
    <mergeCell ref="A25:B25"/>
    <mergeCell ref="C25:F25"/>
    <mergeCell ref="J25:K25"/>
    <mergeCell ref="L25:O25"/>
    <mergeCell ref="C17:F17"/>
    <mergeCell ref="L17:O17"/>
    <mergeCell ref="A19:B19"/>
    <mergeCell ref="C19:F19"/>
    <mergeCell ref="J19:K19"/>
    <mergeCell ref="L19:O19"/>
    <mergeCell ref="C13:F13"/>
    <mergeCell ref="L13:O13"/>
    <mergeCell ref="A16:B16"/>
    <mergeCell ref="C16:F16"/>
    <mergeCell ref="J16:K16"/>
    <mergeCell ref="L16:O16"/>
    <mergeCell ref="F4:G5"/>
    <mergeCell ref="O4:P5"/>
    <mergeCell ref="A9:B9"/>
    <mergeCell ref="C9:F9"/>
    <mergeCell ref="J9:K9"/>
    <mergeCell ref="L9:O9"/>
    <mergeCell ref="C1:G1"/>
    <mergeCell ref="L1:P1"/>
    <mergeCell ref="C2:G2"/>
    <mergeCell ref="L2:P2"/>
    <mergeCell ref="C3:G3"/>
    <mergeCell ref="L3:P3"/>
  </mergeCells>
  <conditionalFormatting sqref="L26:O26">
    <cfRule type="cellIs" dxfId="118" priority="3" operator="equal">
      <formula>0</formula>
    </cfRule>
  </conditionalFormatting>
  <conditionalFormatting sqref="L27:O45">
    <cfRule type="cellIs" dxfId="117" priority="2" operator="equal">
      <formula>0</formula>
    </cfRule>
  </conditionalFormatting>
  <conditionalFormatting sqref="J48:M53">
    <cfRule type="cellIs" dxfId="116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30" orientation="landscape" r:id="rId1"/>
  <rowBreaks count="1" manualBreakCount="1">
    <brk id="5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inicio_Click">
                <anchor moveWithCells="1" sizeWithCells="1">
                  <from>
                    <xdr:col>18</xdr:col>
                    <xdr:colOff>257175</xdr:colOff>
                    <xdr:row>12</xdr:row>
                    <xdr:rowOff>161925</xdr:rowOff>
                  </from>
                  <to>
                    <xdr:col>24</xdr:col>
                    <xdr:colOff>571500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IMPRESION">
                <anchor moveWithCells="1" sizeWithCells="1">
                  <from>
                    <xdr:col>18</xdr:col>
                    <xdr:colOff>352425</xdr:colOff>
                    <xdr:row>18</xdr:row>
                    <xdr:rowOff>228600</xdr:rowOff>
                  </from>
                  <to>
                    <xdr:col>24</xdr:col>
                    <xdr:colOff>666750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5203A-B450-4362-BF32-83F877A42A18}">
  <sheetPr codeName="Hoja19"/>
  <dimension ref="A1:AG9"/>
  <sheetViews>
    <sheetView workbookViewId="0">
      <selection activeCell="F26" sqref="F26"/>
    </sheetView>
  </sheetViews>
  <sheetFormatPr baseColWidth="10" defaultRowHeight="15" x14ac:dyDescent="0.25"/>
  <cols>
    <col min="1" max="1" width="17" customWidth="1"/>
    <col min="3" max="3" width="13.5703125" bestFit="1" customWidth="1"/>
    <col min="4" max="4" width="10.5703125" bestFit="1" customWidth="1"/>
    <col min="5" max="5" width="12" bestFit="1" customWidth="1"/>
    <col min="6" max="7" width="11.85546875" customWidth="1"/>
    <col min="8" max="8" width="16.28515625" bestFit="1" customWidth="1"/>
    <col min="9" max="10" width="11.85546875" customWidth="1"/>
    <col min="12" max="13" width="19.85546875" customWidth="1"/>
    <col min="14" max="14" width="20.85546875" customWidth="1"/>
    <col min="15" max="15" width="18.28515625" customWidth="1"/>
    <col min="16" max="16" width="17.7109375" customWidth="1"/>
    <col min="17" max="17" width="8" customWidth="1"/>
    <col min="18" max="18" width="9.85546875" customWidth="1"/>
    <col min="19" max="19" width="12.140625" customWidth="1"/>
    <col min="20" max="20" width="23.7109375" customWidth="1"/>
    <col min="21" max="22" width="15.7109375" bestFit="1" customWidth="1"/>
    <col min="23" max="23" width="12.42578125" bestFit="1" customWidth="1"/>
    <col min="24" max="24" width="13.5703125" bestFit="1" customWidth="1"/>
    <col min="25" max="25" width="16.42578125" customWidth="1"/>
    <col min="26" max="27" width="17.42578125" customWidth="1"/>
    <col min="30" max="30" width="16.5703125" bestFit="1" customWidth="1"/>
  </cols>
  <sheetData>
    <row r="1" spans="1:33" ht="17.2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1"/>
    </row>
    <row r="2" spans="1:33" ht="16.5" thickBot="1" x14ac:dyDescent="0.3">
      <c r="A2" s="12"/>
      <c r="B2" s="82" t="s">
        <v>37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4"/>
    </row>
    <row r="3" spans="1:33" ht="27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8"/>
    </row>
    <row r="4" spans="1:33" ht="12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0"/>
      <c r="K4" s="20"/>
      <c r="L4" s="20"/>
      <c r="M4" s="20"/>
      <c r="N4" s="20"/>
      <c r="O4" s="21"/>
      <c r="P4" s="19" t="s">
        <v>41</v>
      </c>
      <c r="Q4" s="20"/>
      <c r="R4" s="20"/>
      <c r="S4" s="20"/>
      <c r="T4" s="20"/>
      <c r="U4" s="20"/>
      <c r="V4" s="21"/>
      <c r="W4" s="66" t="s">
        <v>42</v>
      </c>
      <c r="X4" s="85"/>
      <c r="Y4" s="85"/>
      <c r="Z4" s="85"/>
      <c r="AA4" s="67"/>
    </row>
    <row r="5" spans="1:33" ht="17.2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5"/>
      <c r="K5" s="25"/>
      <c r="L5" s="25"/>
      <c r="M5" s="25"/>
      <c r="N5" s="25"/>
      <c r="O5" s="26"/>
      <c r="P5" s="24" t="s">
        <v>44</v>
      </c>
      <c r="Q5" s="25"/>
      <c r="R5" s="25"/>
      <c r="S5" s="25"/>
      <c r="T5" s="25"/>
      <c r="U5" s="25"/>
      <c r="V5" s="26"/>
      <c r="W5" s="69"/>
      <c r="X5" s="22"/>
      <c r="Y5" s="22"/>
      <c r="Z5" s="22"/>
      <c r="AA5" s="23"/>
    </row>
    <row r="6" spans="1:33" ht="15.75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2"/>
      <c r="K6" s="32"/>
      <c r="L6" s="32"/>
      <c r="M6" s="32"/>
      <c r="N6" s="32"/>
      <c r="O6" s="33"/>
      <c r="P6" s="31"/>
      <c r="Q6" s="32"/>
      <c r="R6" s="32"/>
      <c r="S6" s="32"/>
      <c r="T6" s="32"/>
      <c r="U6" s="32"/>
      <c r="V6" s="33"/>
      <c r="W6" s="70"/>
      <c r="X6" s="37"/>
      <c r="Y6" s="37"/>
      <c r="Z6" s="37"/>
      <c r="AA6" s="38"/>
    </row>
    <row r="7" spans="1:33" ht="15.75" hidden="1" thickBot="1" x14ac:dyDescent="0.3">
      <c r="A7" s="1">
        <f ca="1">TODAY()</f>
        <v>45822</v>
      </c>
      <c r="C7" t="s">
        <v>115</v>
      </c>
      <c r="D7" s="40" t="s">
        <v>45</v>
      </c>
      <c r="F7" s="71" t="s">
        <v>73</v>
      </c>
      <c r="G7" s="71"/>
      <c r="H7" s="71"/>
      <c r="I7" s="71"/>
      <c r="J7" s="71"/>
      <c r="V7" s="1">
        <f ca="1">TODAY()</f>
        <v>45822</v>
      </c>
    </row>
    <row r="8" spans="1:33" ht="30.75" thickBot="1" x14ac:dyDescent="0.3">
      <c r="A8" s="93" t="s">
        <v>46</v>
      </c>
      <c r="B8" s="93" t="s">
        <v>47</v>
      </c>
      <c r="C8" s="93" t="s">
        <v>116</v>
      </c>
      <c r="D8" s="93" t="s">
        <v>117</v>
      </c>
      <c r="E8" s="93" t="s">
        <v>48</v>
      </c>
      <c r="F8" s="93" t="s">
        <v>118</v>
      </c>
      <c r="G8" s="93" t="s">
        <v>119</v>
      </c>
      <c r="H8" s="93" t="s">
        <v>120</v>
      </c>
      <c r="I8" s="93" t="s">
        <v>121</v>
      </c>
      <c r="J8" s="93" t="s">
        <v>122</v>
      </c>
      <c r="K8" s="93" t="s">
        <v>51</v>
      </c>
      <c r="L8" s="44" t="s">
        <v>123</v>
      </c>
      <c r="M8" s="44" t="s">
        <v>124</v>
      </c>
      <c r="N8" s="44" t="s">
        <v>125</v>
      </c>
      <c r="O8" s="44" t="s">
        <v>126</v>
      </c>
      <c r="P8" s="44" t="s">
        <v>127</v>
      </c>
      <c r="Q8" s="44" t="s">
        <v>128</v>
      </c>
      <c r="R8" s="44" t="s">
        <v>129</v>
      </c>
      <c r="S8" s="44" t="s">
        <v>130</v>
      </c>
      <c r="T8" s="44" t="s">
        <v>131</v>
      </c>
      <c r="U8" s="57" t="s">
        <v>132</v>
      </c>
      <c r="V8" s="45" t="s">
        <v>133</v>
      </c>
      <c r="W8" s="45" t="s">
        <v>134</v>
      </c>
      <c r="X8" s="87" t="s">
        <v>135</v>
      </c>
      <c r="Y8" s="94" t="s">
        <v>136</v>
      </c>
      <c r="Z8" s="94" t="s">
        <v>137</v>
      </c>
      <c r="AA8" s="94" t="s">
        <v>138</v>
      </c>
      <c r="AB8" s="95" t="s">
        <v>139</v>
      </c>
      <c r="AC8" s="95" t="s">
        <v>69</v>
      </c>
      <c r="AD8" s="95" t="s">
        <v>140</v>
      </c>
      <c r="AE8" s="96" t="s">
        <v>141</v>
      </c>
      <c r="AF8" s="96" t="s">
        <v>142</v>
      </c>
      <c r="AG8" s="96" t="s">
        <v>143</v>
      </c>
    </row>
    <row r="9" spans="1:33" x14ac:dyDescent="0.25">
      <c r="A9" s="97"/>
      <c r="B9" s="98"/>
      <c r="C9" s="99"/>
      <c r="D9" s="99"/>
      <c r="E9" s="99"/>
      <c r="F9" s="99"/>
      <c r="G9" s="100"/>
      <c r="H9" s="100"/>
      <c r="I9" s="100"/>
      <c r="J9" s="100"/>
      <c r="K9" s="99"/>
      <c r="L9" s="99"/>
      <c r="M9" s="99"/>
      <c r="N9" s="99"/>
      <c r="O9" s="99"/>
      <c r="P9" s="99"/>
      <c r="Q9" s="99"/>
      <c r="R9" s="99"/>
      <c r="S9" s="101"/>
      <c r="T9" s="99"/>
      <c r="U9" s="101"/>
      <c r="V9" s="99"/>
      <c r="W9" s="99"/>
      <c r="X9" s="99"/>
      <c r="Y9" s="99"/>
      <c r="Z9" s="99"/>
      <c r="AA9" s="99"/>
      <c r="AB9" s="99"/>
      <c r="AC9" s="99"/>
      <c r="AD9" s="99"/>
      <c r="AE9" s="102"/>
      <c r="AF9" s="102"/>
      <c r="AG9" s="102"/>
    </row>
  </sheetData>
  <mergeCells count="11">
    <mergeCell ref="P5:V6"/>
    <mergeCell ref="A1:A6"/>
    <mergeCell ref="B1:AA1"/>
    <mergeCell ref="B2:AA2"/>
    <mergeCell ref="B3:AA3"/>
    <mergeCell ref="B4:D4"/>
    <mergeCell ref="E4:O4"/>
    <mergeCell ref="P4:V4"/>
    <mergeCell ref="W4:AA6"/>
    <mergeCell ref="B5:D6"/>
    <mergeCell ref="E5:O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69743-74CD-453D-9C4B-075087567A98}">
  <sheetPr codeName="Hoja10"/>
  <dimension ref="A1:S16"/>
  <sheetViews>
    <sheetView topLeftCell="C1" workbookViewId="0">
      <selection activeCell="F26" sqref="F26"/>
    </sheetView>
  </sheetViews>
  <sheetFormatPr baseColWidth="10" defaultRowHeight="15" x14ac:dyDescent="0.25"/>
  <cols>
    <col min="1" max="1" width="17.85546875" customWidth="1"/>
    <col min="2" max="2" width="12" customWidth="1"/>
    <col min="3" max="3" width="22" customWidth="1"/>
    <col min="4" max="6" width="12" customWidth="1"/>
    <col min="7" max="7" width="9.7109375" customWidth="1"/>
    <col min="8" max="8" width="5.28515625" customWidth="1"/>
    <col min="9" max="9" width="7.28515625" bestFit="1" customWidth="1"/>
    <col min="10" max="10" width="7.140625" customWidth="1"/>
    <col min="11" max="11" width="10.42578125" bestFit="1" customWidth="1"/>
    <col min="12" max="12" width="10.5703125" bestFit="1" customWidth="1"/>
    <col min="13" max="13" width="6.42578125" bestFit="1" customWidth="1"/>
    <col min="14" max="14" width="10.140625" bestFit="1" customWidth="1"/>
    <col min="15" max="15" width="12" bestFit="1" customWidth="1"/>
    <col min="16" max="16" width="12.42578125" bestFit="1" customWidth="1"/>
    <col min="17" max="17" width="15.28515625" customWidth="1"/>
    <col min="18" max="18" width="16.5703125" customWidth="1"/>
    <col min="19" max="19" width="15.7109375" customWidth="1"/>
    <col min="20" max="20" width="17.140625" customWidth="1"/>
  </cols>
  <sheetData>
    <row r="1" spans="1:19" ht="29.25" customHeight="1" thickBot="1" x14ac:dyDescent="0.3">
      <c r="A1" s="8"/>
      <c r="B1" s="9" t="s">
        <v>36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1"/>
    </row>
    <row r="2" spans="1:19" ht="15.75" customHeight="1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5"/>
    </row>
    <row r="3" spans="1:19" ht="20.25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8"/>
    </row>
    <row r="4" spans="1:19" ht="23.25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0"/>
      <c r="N4" s="20"/>
      <c r="O4" s="21"/>
      <c r="P4" s="22" t="s">
        <v>42</v>
      </c>
      <c r="Q4" s="22"/>
      <c r="R4" s="22"/>
      <c r="S4" s="23"/>
    </row>
    <row r="5" spans="1:19" ht="16.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6"/>
      <c r="K5" s="24" t="s">
        <v>44</v>
      </c>
      <c r="L5" s="25"/>
      <c r="M5" s="25"/>
      <c r="N5" s="25"/>
      <c r="O5" s="26"/>
      <c r="P5" s="22"/>
      <c r="Q5" s="22"/>
      <c r="R5" s="22"/>
      <c r="S5" s="23"/>
    </row>
    <row r="6" spans="1:19" ht="6.75" customHeight="1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3"/>
      <c r="K6" s="31"/>
      <c r="L6" s="32"/>
      <c r="M6" s="32"/>
      <c r="N6" s="32"/>
      <c r="O6" s="33"/>
      <c r="P6" s="37"/>
      <c r="Q6" s="37"/>
      <c r="R6" s="37"/>
      <c r="S6" s="38"/>
    </row>
    <row r="7" spans="1:19" ht="15.75" thickBot="1" x14ac:dyDescent="0.3">
      <c r="A7" s="39">
        <f ca="1">TODAY()</f>
        <v>45822</v>
      </c>
      <c r="D7" s="40" t="s">
        <v>111</v>
      </c>
      <c r="F7" s="71" t="s">
        <v>112</v>
      </c>
    </row>
    <row r="8" spans="1:19" ht="49.5" thickBot="1" x14ac:dyDescent="0.3">
      <c r="A8" s="41" t="s">
        <v>46</v>
      </c>
      <c r="B8" s="43" t="s">
        <v>47</v>
      </c>
      <c r="C8" s="43" t="s">
        <v>48</v>
      </c>
      <c r="D8" s="43" t="s">
        <v>49</v>
      </c>
      <c r="E8" s="43" t="s">
        <v>50</v>
      </c>
      <c r="F8" s="43" t="s">
        <v>51</v>
      </c>
      <c r="G8" s="43" t="s">
        <v>113</v>
      </c>
      <c r="H8" s="44" t="s">
        <v>53</v>
      </c>
      <c r="I8" s="45" t="s">
        <v>54</v>
      </c>
      <c r="J8" s="45" t="s">
        <v>114</v>
      </c>
      <c r="K8" s="45" t="s">
        <v>56</v>
      </c>
      <c r="L8" s="44" t="s">
        <v>57</v>
      </c>
      <c r="M8" s="44" t="s">
        <v>58</v>
      </c>
      <c r="N8" s="44" t="s">
        <v>59</v>
      </c>
      <c r="O8" s="44" t="s">
        <v>60</v>
      </c>
      <c r="P8" s="46" t="s">
        <v>61</v>
      </c>
      <c r="Q8" s="46" t="s">
        <v>62</v>
      </c>
      <c r="R8" s="46" t="s">
        <v>63</v>
      </c>
      <c r="S8" s="46" t="s">
        <v>64</v>
      </c>
    </row>
    <row r="9" spans="1:19" x14ac:dyDescent="0.25">
      <c r="A9" s="48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</row>
    <row r="10" spans="1:19" x14ac:dyDescent="0.25">
      <c r="A10" s="48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</row>
    <row r="11" spans="1:19" x14ac:dyDescent="0.25">
      <c r="A11" s="48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</row>
    <row r="12" spans="1:19" x14ac:dyDescent="0.25">
      <c r="A12" s="48"/>
      <c r="B12" s="50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</row>
    <row r="13" spans="1:19" x14ac:dyDescent="0.25">
      <c r="A13" s="51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</row>
    <row r="14" spans="1:19" x14ac:dyDescent="0.25">
      <c r="A14" s="48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52"/>
      <c r="R14" s="52"/>
      <c r="S14" s="52"/>
    </row>
    <row r="15" spans="1:19" x14ac:dyDescent="0.25">
      <c r="A15" s="51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</row>
    <row r="16" spans="1:19" x14ac:dyDescent="0.25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5"/>
      <c r="R16" s="55"/>
      <c r="S16" s="55"/>
    </row>
  </sheetData>
  <mergeCells count="11">
    <mergeCell ref="K5:O6"/>
    <mergeCell ref="A1:A6"/>
    <mergeCell ref="B1:S1"/>
    <mergeCell ref="B2:S2"/>
    <mergeCell ref="B3:S3"/>
    <mergeCell ref="B4:D4"/>
    <mergeCell ref="E4:J4"/>
    <mergeCell ref="K4:O4"/>
    <mergeCell ref="P4:S6"/>
    <mergeCell ref="B5:D6"/>
    <mergeCell ref="E5:J6"/>
  </mergeCells>
  <pageMargins left="0.7" right="0.7" top="0.75" bottom="0.75" header="0.3" footer="0.3"/>
  <pageSetup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Word.Picture.8" shapeId="11265" r:id="rId4">
          <objectPr defaultSize="0" autoPict="0" r:id="rId5">
            <anchor moveWithCells="1" sizeWithCells="1">
              <from>
                <xdr:col>0</xdr:col>
                <xdr:colOff>57150</xdr:colOff>
                <xdr:row>0</xdr:row>
                <xdr:rowOff>219075</xdr:rowOff>
              </from>
              <to>
                <xdr:col>0</xdr:col>
                <xdr:colOff>923925</xdr:colOff>
                <xdr:row>3</xdr:row>
                <xdr:rowOff>114300</xdr:rowOff>
              </to>
            </anchor>
          </objectPr>
        </oleObject>
      </mc:Choice>
      <mc:Fallback>
        <oleObject progId="Word.Picture.8" shapeId="11265" r:id="rId4"/>
      </mc:Fallback>
    </mc:AlternateContent>
  </oleObject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D059F-D9F2-421E-B817-CEEB403A8401}">
  <sheetPr codeName="Hoja8"/>
  <dimension ref="A1:V9"/>
  <sheetViews>
    <sheetView zoomScale="90" zoomScaleNormal="90" workbookViewId="0">
      <selection activeCell="F26" sqref="F26"/>
    </sheetView>
  </sheetViews>
  <sheetFormatPr baseColWidth="10" defaultRowHeight="15" x14ac:dyDescent="0.25"/>
  <cols>
    <col min="1" max="1" width="19.140625" customWidth="1"/>
    <col min="3" max="3" width="38.42578125" customWidth="1"/>
    <col min="6" max="6" width="11.7109375" customWidth="1"/>
    <col min="8" max="8" width="8.140625" bestFit="1" customWidth="1"/>
    <col min="9" max="9" width="9.85546875" bestFit="1" customWidth="1"/>
    <col min="10" max="10" width="9.7109375" bestFit="1" customWidth="1"/>
    <col min="11" max="11" width="10.42578125" bestFit="1" customWidth="1"/>
    <col min="12" max="12" width="10.5703125" bestFit="1" customWidth="1"/>
    <col min="13" max="13" width="6.42578125" bestFit="1" customWidth="1"/>
    <col min="14" max="14" width="12.140625" bestFit="1" customWidth="1"/>
    <col min="15" max="15" width="20.5703125" bestFit="1" customWidth="1"/>
    <col min="16" max="16" width="9.7109375" bestFit="1" customWidth="1"/>
    <col min="17" max="17" width="19.7109375" customWidth="1"/>
    <col min="18" max="18" width="40.140625" bestFit="1" customWidth="1"/>
    <col min="19" max="19" width="53.28515625" customWidth="1"/>
    <col min="20" max="20" width="16" customWidth="1"/>
    <col min="21" max="21" width="17.140625" customWidth="1"/>
    <col min="22" max="22" width="17.28515625" customWidth="1"/>
  </cols>
  <sheetData>
    <row r="1" spans="1:22" ht="16.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1"/>
    </row>
    <row r="2" spans="1:22" ht="16.5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5"/>
    </row>
    <row r="3" spans="1:22" ht="19.5" customHeight="1" thickBot="1" x14ac:dyDescent="0.3">
      <c r="A3" s="12"/>
      <c r="B3" s="89" t="s">
        <v>38</v>
      </c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1"/>
    </row>
    <row r="4" spans="1:22" ht="15.75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0"/>
      <c r="N4" s="20"/>
      <c r="O4" s="21"/>
      <c r="P4" s="66" t="s">
        <v>42</v>
      </c>
      <c r="Q4" s="85"/>
      <c r="R4" s="85"/>
      <c r="S4" s="85"/>
      <c r="T4" s="85"/>
      <c r="U4" s="85"/>
      <c r="V4" s="67"/>
    </row>
    <row r="5" spans="1:22" ht="16.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6"/>
      <c r="K5" s="24" t="s">
        <v>44</v>
      </c>
      <c r="L5" s="25"/>
      <c r="M5" s="25"/>
      <c r="N5" s="25"/>
      <c r="O5" s="26"/>
      <c r="P5" s="69"/>
      <c r="Q5" s="22"/>
      <c r="R5" s="22"/>
      <c r="S5" s="22"/>
      <c r="T5" s="22"/>
      <c r="U5" s="22"/>
      <c r="V5" s="23"/>
    </row>
    <row r="6" spans="1:22" ht="15.75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3"/>
      <c r="K6" s="31"/>
      <c r="L6" s="32"/>
      <c r="M6" s="32"/>
      <c r="N6" s="32"/>
      <c r="O6" s="33"/>
      <c r="P6" s="70"/>
      <c r="Q6" s="37"/>
      <c r="R6" s="37"/>
      <c r="S6" s="37"/>
      <c r="T6" s="37"/>
      <c r="U6" s="37"/>
      <c r="V6" s="38"/>
    </row>
    <row r="7" spans="1:22" ht="15.75" hidden="1" thickBot="1" x14ac:dyDescent="0.3">
      <c r="A7" s="1">
        <f ca="1">TODAY()</f>
        <v>45822</v>
      </c>
      <c r="D7" s="40" t="s">
        <v>45</v>
      </c>
    </row>
    <row r="8" spans="1:22" ht="30.75" thickBot="1" x14ac:dyDescent="0.3">
      <c r="A8" s="86" t="s">
        <v>46</v>
      </c>
      <c r="B8" s="86" t="s">
        <v>47</v>
      </c>
      <c r="C8" s="86" t="s">
        <v>94</v>
      </c>
      <c r="D8" s="86" t="s">
        <v>49</v>
      </c>
      <c r="E8" s="86" t="s">
        <v>50</v>
      </c>
      <c r="F8" s="86" t="s">
        <v>51</v>
      </c>
      <c r="G8" s="86" t="s">
        <v>52</v>
      </c>
      <c r="H8" s="44" t="s">
        <v>99</v>
      </c>
      <c r="I8" s="44" t="s">
        <v>100</v>
      </c>
      <c r="J8" s="44" t="s">
        <v>101</v>
      </c>
      <c r="K8" s="44" t="s">
        <v>102</v>
      </c>
      <c r="L8" s="44" t="s">
        <v>103</v>
      </c>
      <c r="M8" s="44" t="s">
        <v>104</v>
      </c>
      <c r="N8" s="44" t="s">
        <v>105</v>
      </c>
      <c r="O8" s="44" t="s">
        <v>106</v>
      </c>
      <c r="P8" s="44" t="s">
        <v>107</v>
      </c>
      <c r="Q8" s="44" t="s">
        <v>108</v>
      </c>
      <c r="R8" s="44" t="s">
        <v>109</v>
      </c>
      <c r="S8" s="44" t="s">
        <v>110</v>
      </c>
      <c r="T8" s="46" t="s">
        <v>62</v>
      </c>
      <c r="U8" s="46" t="s">
        <v>63</v>
      </c>
      <c r="V8" s="46" t="s">
        <v>64</v>
      </c>
    </row>
    <row r="9" spans="1:22" x14ac:dyDescent="0.25">
      <c r="A9" s="88"/>
      <c r="B9" s="92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</row>
  </sheetData>
  <mergeCells count="11">
    <mergeCell ref="K5:O6"/>
    <mergeCell ref="A1:A6"/>
    <mergeCell ref="B1:V1"/>
    <mergeCell ref="B2:V2"/>
    <mergeCell ref="B3:V3"/>
    <mergeCell ref="B4:D4"/>
    <mergeCell ref="E4:J4"/>
    <mergeCell ref="K4:O4"/>
    <mergeCell ref="P4:V6"/>
    <mergeCell ref="B5:D6"/>
    <mergeCell ref="E5:J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DC73-A904-4B60-B132-D687E21DBCB1}">
  <sheetPr codeName="Hoja6"/>
  <dimension ref="A1:T9"/>
  <sheetViews>
    <sheetView topLeftCell="N1" workbookViewId="0">
      <selection activeCell="F26" sqref="F26"/>
    </sheetView>
  </sheetViews>
  <sheetFormatPr baseColWidth="10" defaultRowHeight="15" x14ac:dyDescent="0.25"/>
  <cols>
    <col min="1" max="1" width="17" customWidth="1"/>
    <col min="6" max="6" width="11.85546875" customWidth="1"/>
    <col min="8" max="8" width="19.85546875" customWidth="1"/>
    <col min="9" max="9" width="20.85546875" customWidth="1"/>
    <col min="10" max="10" width="18.28515625" customWidth="1"/>
    <col min="11" max="11" width="20.7109375" customWidth="1"/>
    <col min="12" max="12" width="22" customWidth="1"/>
    <col min="13" max="13" width="20" customWidth="1"/>
    <col min="14" max="14" width="23.7109375" customWidth="1"/>
    <col min="15" max="15" width="29.42578125" customWidth="1"/>
    <col min="16" max="16" width="43" customWidth="1"/>
    <col min="17" max="17" width="42.28515625" customWidth="1"/>
    <col min="18" max="18" width="16.42578125" customWidth="1"/>
    <col min="19" max="20" width="17.42578125" customWidth="1"/>
  </cols>
  <sheetData>
    <row r="1" spans="1:20" ht="17.2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</row>
    <row r="2" spans="1:20" ht="16.5" thickBot="1" x14ac:dyDescent="0.3">
      <c r="A2" s="12"/>
      <c r="B2" s="82" t="s">
        <v>37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4"/>
    </row>
    <row r="3" spans="1:20" ht="27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8"/>
    </row>
    <row r="4" spans="1:20" ht="12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0"/>
      <c r="N4" s="20"/>
      <c r="O4" s="21"/>
      <c r="P4" s="66" t="s">
        <v>42</v>
      </c>
      <c r="Q4" s="85"/>
      <c r="R4" s="85"/>
      <c r="S4" s="85"/>
      <c r="T4" s="67"/>
    </row>
    <row r="5" spans="1:20" ht="17.2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6"/>
      <c r="K5" s="24" t="s">
        <v>44</v>
      </c>
      <c r="L5" s="25"/>
      <c r="M5" s="25"/>
      <c r="N5" s="25"/>
      <c r="O5" s="26"/>
      <c r="P5" s="69"/>
      <c r="Q5" s="22"/>
      <c r="R5" s="22"/>
      <c r="S5" s="22"/>
      <c r="T5" s="23"/>
    </row>
    <row r="6" spans="1:20" ht="12.75" customHeight="1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3"/>
      <c r="K6" s="31"/>
      <c r="L6" s="32"/>
      <c r="M6" s="32"/>
      <c r="N6" s="32"/>
      <c r="O6" s="33"/>
      <c r="P6" s="70"/>
      <c r="Q6" s="37"/>
      <c r="R6" s="37"/>
      <c r="S6" s="37"/>
      <c r="T6" s="38"/>
    </row>
    <row r="7" spans="1:20" ht="15.75" hidden="1" thickBot="1" x14ac:dyDescent="0.3">
      <c r="A7" s="1">
        <f ca="1">TODAY()</f>
        <v>45822</v>
      </c>
      <c r="D7" s="40" t="s">
        <v>45</v>
      </c>
      <c r="E7" t="s">
        <v>82</v>
      </c>
      <c r="F7" s="71" t="s">
        <v>73</v>
      </c>
    </row>
    <row r="8" spans="1:20" ht="15.75" thickBot="1" x14ac:dyDescent="0.3">
      <c r="A8" s="86" t="s">
        <v>46</v>
      </c>
      <c r="B8" s="86" t="s">
        <v>47</v>
      </c>
      <c r="C8" s="86" t="s">
        <v>94</v>
      </c>
      <c r="D8" s="86" t="s">
        <v>49</v>
      </c>
      <c r="E8" s="86" t="s">
        <v>50</v>
      </c>
      <c r="F8" s="86" t="s">
        <v>51</v>
      </c>
      <c r="G8" s="86" t="s">
        <v>52</v>
      </c>
      <c r="H8" s="44" t="s">
        <v>95</v>
      </c>
      <c r="I8" s="44" t="s">
        <v>96</v>
      </c>
      <c r="J8" s="44" t="s">
        <v>97</v>
      </c>
      <c r="K8" s="44" t="s">
        <v>85</v>
      </c>
      <c r="L8" s="44" t="s">
        <v>57</v>
      </c>
      <c r="M8" s="44" t="s">
        <v>58</v>
      </c>
      <c r="N8" s="44" t="s">
        <v>98</v>
      </c>
      <c r="O8" s="45" t="s">
        <v>59</v>
      </c>
      <c r="P8" s="45" t="s">
        <v>60</v>
      </c>
      <c r="Q8" s="87" t="s">
        <v>61</v>
      </c>
      <c r="R8" s="46" t="s">
        <v>62</v>
      </c>
      <c r="S8" s="46" t="s">
        <v>63</v>
      </c>
      <c r="T8" s="46" t="s">
        <v>64</v>
      </c>
    </row>
    <row r="9" spans="1:20" x14ac:dyDescent="0.25">
      <c r="A9" s="88"/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</row>
  </sheetData>
  <mergeCells count="11">
    <mergeCell ref="K5:O6"/>
    <mergeCell ref="A1:A6"/>
    <mergeCell ref="B1:T1"/>
    <mergeCell ref="B2:T2"/>
    <mergeCell ref="B3:T3"/>
    <mergeCell ref="B4:D4"/>
    <mergeCell ref="E4:J4"/>
    <mergeCell ref="K4:O4"/>
    <mergeCell ref="P4:T6"/>
    <mergeCell ref="B5:D6"/>
    <mergeCell ref="E5:J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BF29-0572-486E-8A20-7570EF19013C}">
  <sheetPr codeName="Hoja18"/>
  <dimension ref="A1:R16"/>
  <sheetViews>
    <sheetView topLeftCell="C4" workbookViewId="0">
      <selection activeCell="F26" sqref="F26"/>
    </sheetView>
  </sheetViews>
  <sheetFormatPr baseColWidth="10" defaultRowHeight="15" x14ac:dyDescent="0.25"/>
  <cols>
    <col min="1" max="1" width="17.85546875" customWidth="1"/>
    <col min="2" max="2" width="12" customWidth="1"/>
    <col min="3" max="3" width="22" customWidth="1"/>
    <col min="4" max="6" width="12" customWidth="1"/>
    <col min="7" max="7" width="9.7109375" customWidth="1"/>
    <col min="8" max="8" width="14.28515625" customWidth="1"/>
    <col min="9" max="10" width="11.7109375" customWidth="1"/>
    <col min="11" max="11" width="13.28515625" customWidth="1"/>
    <col min="12" max="12" width="10.42578125" bestFit="1" customWidth="1"/>
    <col min="13" max="13" width="10.140625" bestFit="1" customWidth="1"/>
    <col min="14" max="14" width="12.28515625" customWidth="1"/>
    <col min="15" max="15" width="12.42578125" bestFit="1" customWidth="1"/>
    <col min="16" max="16" width="15.28515625" customWidth="1"/>
    <col min="17" max="17" width="16.5703125" customWidth="1"/>
    <col min="18" max="18" width="15.7109375" customWidth="1"/>
    <col min="19" max="19" width="17.140625" customWidth="1"/>
  </cols>
  <sheetData>
    <row r="1" spans="1:18" ht="29.2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1"/>
    </row>
    <row r="2" spans="1:18" ht="15.75" customHeight="1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5"/>
    </row>
    <row r="3" spans="1:18" ht="20.25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8"/>
    </row>
    <row r="4" spans="1:18" ht="23.25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0"/>
      <c r="K4" s="21"/>
      <c r="L4" s="19" t="s">
        <v>41</v>
      </c>
      <c r="M4" s="20"/>
      <c r="N4" s="21"/>
      <c r="O4" s="22" t="s">
        <v>42</v>
      </c>
      <c r="P4" s="22"/>
      <c r="Q4" s="22"/>
      <c r="R4" s="23"/>
    </row>
    <row r="5" spans="1:18" ht="16.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5"/>
      <c r="K5" s="26"/>
      <c r="L5" s="24" t="s">
        <v>44</v>
      </c>
      <c r="M5" s="25"/>
      <c r="N5" s="26"/>
      <c r="O5" s="22"/>
      <c r="P5" s="22"/>
      <c r="Q5" s="22"/>
      <c r="R5" s="23"/>
    </row>
    <row r="6" spans="1:18" ht="6.75" customHeight="1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2"/>
      <c r="K6" s="33"/>
      <c r="L6" s="31"/>
      <c r="M6" s="32"/>
      <c r="N6" s="33"/>
      <c r="O6" s="37"/>
      <c r="P6" s="37"/>
      <c r="Q6" s="37"/>
      <c r="R6" s="38"/>
    </row>
    <row r="7" spans="1:18" ht="15.75" thickBot="1" x14ac:dyDescent="0.3">
      <c r="A7" s="39">
        <f ca="1">TODAY()</f>
        <v>45822</v>
      </c>
      <c r="D7" s="40" t="s">
        <v>82</v>
      </c>
      <c r="F7" s="71" t="s">
        <v>83</v>
      </c>
    </row>
    <row r="8" spans="1:18" ht="45.75" thickBot="1" x14ac:dyDescent="0.3">
      <c r="A8" s="41" t="s">
        <v>46</v>
      </c>
      <c r="B8" s="43" t="s">
        <v>47</v>
      </c>
      <c r="C8" s="43" t="s">
        <v>48</v>
      </c>
      <c r="D8" s="43" t="s">
        <v>49</v>
      </c>
      <c r="E8" s="43" t="s">
        <v>50</v>
      </c>
      <c r="F8" s="43" t="s">
        <v>51</v>
      </c>
      <c r="G8" s="43" t="s">
        <v>52</v>
      </c>
      <c r="H8" s="44" t="s">
        <v>84</v>
      </c>
      <c r="I8" s="45" t="s">
        <v>85</v>
      </c>
      <c r="J8" s="45" t="s">
        <v>93</v>
      </c>
      <c r="K8" s="45" t="s">
        <v>86</v>
      </c>
      <c r="L8" s="44" t="s">
        <v>58</v>
      </c>
      <c r="M8" s="44" t="s">
        <v>87</v>
      </c>
      <c r="N8" s="44" t="s">
        <v>88</v>
      </c>
      <c r="O8" s="46" t="s">
        <v>89</v>
      </c>
      <c r="P8" s="46" t="s">
        <v>62</v>
      </c>
      <c r="Q8" s="46" t="s">
        <v>63</v>
      </c>
      <c r="R8" s="46" t="s">
        <v>64</v>
      </c>
    </row>
    <row r="9" spans="1:18" x14ac:dyDescent="0.25">
      <c r="A9" s="48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x14ac:dyDescent="0.25">
      <c r="A10" s="48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x14ac:dyDescent="0.25">
      <c r="A11" s="48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x14ac:dyDescent="0.25">
      <c r="A12" s="48"/>
      <c r="B12" s="50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x14ac:dyDescent="0.25">
      <c r="A13" s="51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x14ac:dyDescent="0.25">
      <c r="A14" s="48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52"/>
      <c r="Q14" s="52"/>
      <c r="R14" s="52"/>
    </row>
    <row r="15" spans="1:18" x14ac:dyDescent="0.25">
      <c r="A15" s="51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x14ac:dyDescent="0.25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5"/>
      <c r="Q16" s="55"/>
      <c r="R16" s="55"/>
    </row>
  </sheetData>
  <mergeCells count="11">
    <mergeCell ref="L5:N6"/>
    <mergeCell ref="A1:A6"/>
    <mergeCell ref="B1:R1"/>
    <mergeCell ref="B2:R2"/>
    <mergeCell ref="B3:R3"/>
    <mergeCell ref="B4:D4"/>
    <mergeCell ref="E4:K4"/>
    <mergeCell ref="L4:N4"/>
    <mergeCell ref="O4:R6"/>
    <mergeCell ref="B5:D6"/>
    <mergeCell ref="E5:K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7B3E7-A8B8-4461-AA35-FF636BF35378}">
  <sheetPr codeName="Hoja9">
    <pageSetUpPr fitToPage="1"/>
  </sheetPr>
  <dimension ref="A1:Q39"/>
  <sheetViews>
    <sheetView topLeftCell="A5" zoomScale="59" zoomScaleNormal="59" workbookViewId="0">
      <selection activeCell="F26" sqref="F26"/>
    </sheetView>
  </sheetViews>
  <sheetFormatPr baseColWidth="10" defaultRowHeight="15" x14ac:dyDescent="0.25"/>
  <cols>
    <col min="1" max="1" width="17.85546875" customWidth="1"/>
    <col min="2" max="2" width="12" customWidth="1"/>
    <col min="3" max="3" width="22" customWidth="1"/>
    <col min="4" max="4" width="12" customWidth="1"/>
    <col min="5" max="5" width="22.42578125" customWidth="1"/>
    <col min="6" max="6" width="23.85546875" customWidth="1"/>
    <col min="7" max="7" width="9.7109375" customWidth="1"/>
    <col min="8" max="8" width="14.28515625" customWidth="1"/>
    <col min="9" max="9" width="11.7109375" customWidth="1"/>
    <col min="10" max="10" width="13.28515625" customWidth="1"/>
    <col min="11" max="11" width="10.42578125" customWidth="1"/>
    <col min="12" max="12" width="10.140625" customWidth="1"/>
    <col min="13" max="13" width="12.28515625" customWidth="1"/>
    <col min="14" max="14" width="14.42578125" customWidth="1"/>
    <col min="15" max="15" width="15.28515625" hidden="1" customWidth="1"/>
    <col min="16" max="16" width="14.42578125" hidden="1" customWidth="1"/>
    <col min="17" max="17" width="24.7109375" customWidth="1"/>
    <col min="18" max="18" width="17.140625" customWidth="1"/>
  </cols>
  <sheetData>
    <row r="1" spans="1:17" ht="29.2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1"/>
    </row>
    <row r="2" spans="1:17" ht="15.75" customHeight="1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5"/>
    </row>
    <row r="3" spans="1:17" ht="20.25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8"/>
    </row>
    <row r="4" spans="1:17" ht="23.25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1"/>
      <c r="N4" s="22" t="s">
        <v>42</v>
      </c>
      <c r="O4" s="22"/>
      <c r="P4" s="22"/>
      <c r="Q4" s="23"/>
    </row>
    <row r="5" spans="1:17" ht="16.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6"/>
      <c r="K5" s="24" t="s">
        <v>44</v>
      </c>
      <c r="L5" s="25"/>
      <c r="M5" s="26"/>
      <c r="N5" s="22"/>
      <c r="O5" s="22"/>
      <c r="P5" s="22"/>
      <c r="Q5" s="23"/>
    </row>
    <row r="6" spans="1:17" ht="6.75" customHeight="1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3"/>
      <c r="K6" s="31"/>
      <c r="L6" s="32"/>
      <c r="M6" s="33"/>
      <c r="N6" s="37"/>
      <c r="O6" s="37"/>
      <c r="P6" s="37"/>
      <c r="Q6" s="38"/>
    </row>
    <row r="7" spans="1:17" ht="15.75" thickBot="1" x14ac:dyDescent="0.3">
      <c r="A7" s="39">
        <f ca="1">TODAY()</f>
        <v>45822</v>
      </c>
      <c r="D7" s="40" t="s">
        <v>82</v>
      </c>
      <c r="F7" s="71" t="s">
        <v>83</v>
      </c>
    </row>
    <row r="8" spans="1:17" ht="45.75" thickBot="1" x14ac:dyDescent="0.3">
      <c r="A8" s="76" t="s">
        <v>46</v>
      </c>
      <c r="B8" s="76" t="s">
        <v>47</v>
      </c>
      <c r="C8" s="76" t="s">
        <v>48</v>
      </c>
      <c r="D8" s="76" t="s">
        <v>49</v>
      </c>
      <c r="E8" s="76" t="s">
        <v>50</v>
      </c>
      <c r="F8" s="76" t="s">
        <v>51</v>
      </c>
      <c r="G8" s="76" t="s">
        <v>52</v>
      </c>
      <c r="H8" s="77" t="s">
        <v>84</v>
      </c>
      <c r="I8" s="77" t="s">
        <v>85</v>
      </c>
      <c r="J8" s="77" t="s">
        <v>86</v>
      </c>
      <c r="K8" s="77" t="s">
        <v>58</v>
      </c>
      <c r="L8" s="77" t="s">
        <v>87</v>
      </c>
      <c r="M8" s="77" t="s">
        <v>88</v>
      </c>
      <c r="N8" s="77" t="s">
        <v>89</v>
      </c>
      <c r="O8" s="78" t="s">
        <v>62</v>
      </c>
      <c r="P8" s="46" t="s">
        <v>63</v>
      </c>
      <c r="Q8" s="46" t="s">
        <v>64</v>
      </c>
    </row>
    <row r="9" spans="1:17" ht="30" customHeight="1" x14ac:dyDescent="0.25">
      <c r="A9" s="79"/>
      <c r="B9" s="79"/>
      <c r="C9" s="79" t="s">
        <v>90</v>
      </c>
      <c r="D9" s="79" t="s">
        <v>91</v>
      </c>
      <c r="E9" s="79" t="s">
        <v>92</v>
      </c>
      <c r="F9" s="79"/>
      <c r="G9" s="79"/>
      <c r="H9" s="79"/>
      <c r="I9" s="79"/>
      <c r="J9" s="79"/>
      <c r="K9" s="79"/>
      <c r="L9" s="79"/>
      <c r="M9" s="79"/>
      <c r="N9" s="79"/>
      <c r="O9" s="75"/>
      <c r="P9" s="80"/>
      <c r="Q9" s="80"/>
    </row>
    <row r="10" spans="1:17" ht="30" customHeight="1" x14ac:dyDescent="0.25">
      <c r="A10" s="49"/>
      <c r="B10" s="49"/>
      <c r="C10" s="49" t="s">
        <v>90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</row>
    <row r="11" spans="1:17" ht="30" customHeight="1" x14ac:dyDescent="0.25">
      <c r="A11" s="49"/>
      <c r="B11" s="49"/>
      <c r="C11" s="49" t="s">
        <v>90</v>
      </c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</row>
    <row r="12" spans="1:17" ht="30" customHeight="1" x14ac:dyDescent="0.25">
      <c r="A12" s="49"/>
      <c r="B12" s="49"/>
      <c r="C12" s="49" t="s">
        <v>90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</row>
    <row r="13" spans="1:17" ht="30" customHeight="1" x14ac:dyDescent="0.25">
      <c r="A13" s="49"/>
      <c r="B13" s="49"/>
      <c r="C13" s="49" t="s">
        <v>90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</row>
    <row r="14" spans="1:17" ht="30" customHeight="1" x14ac:dyDescent="0.25">
      <c r="A14" s="49"/>
      <c r="B14" s="49"/>
      <c r="C14" s="49" t="s">
        <v>90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</row>
    <row r="15" spans="1:17" ht="30" customHeight="1" x14ac:dyDescent="0.25">
      <c r="A15" s="49"/>
      <c r="B15" s="49"/>
      <c r="C15" s="49" t="s">
        <v>90</v>
      </c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</row>
    <row r="16" spans="1:17" ht="30" customHeight="1" x14ac:dyDescent="0.25">
      <c r="A16" s="49"/>
      <c r="B16" s="49"/>
      <c r="C16" s="49" t="s">
        <v>90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</row>
    <row r="17" spans="1:17" ht="30" customHeight="1" x14ac:dyDescent="0.25">
      <c r="A17" s="49"/>
      <c r="B17" s="49"/>
      <c r="C17" s="49" t="s">
        <v>90</v>
      </c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</row>
    <row r="18" spans="1:17" ht="30" customHeight="1" x14ac:dyDescent="0.25">
      <c r="A18" s="49"/>
      <c r="B18" s="49"/>
      <c r="C18" s="49" t="s">
        <v>90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</row>
    <row r="19" spans="1:17" ht="30" customHeight="1" x14ac:dyDescent="0.25">
      <c r="A19" s="49"/>
      <c r="B19" s="49"/>
      <c r="C19" s="49" t="s">
        <v>90</v>
      </c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</row>
    <row r="20" spans="1:17" ht="30" customHeight="1" x14ac:dyDescent="0.25">
      <c r="A20" s="49"/>
      <c r="B20" s="49"/>
      <c r="C20" s="49" t="s">
        <v>90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</row>
    <row r="21" spans="1:17" ht="30" customHeight="1" x14ac:dyDescent="0.25">
      <c r="A21" s="49"/>
      <c r="B21" s="49"/>
      <c r="C21" s="49" t="s">
        <v>90</v>
      </c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</row>
    <row r="22" spans="1:17" ht="30" customHeight="1" x14ac:dyDescent="0.25">
      <c r="A22" s="49"/>
      <c r="B22" s="49"/>
      <c r="C22" s="49" t="s">
        <v>90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</row>
    <row r="23" spans="1:17" ht="30" customHeight="1" x14ac:dyDescent="0.25">
      <c r="A23" s="49"/>
      <c r="B23" s="49"/>
      <c r="C23" s="49" t="s">
        <v>90</v>
      </c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</row>
    <row r="24" spans="1:17" ht="30" customHeight="1" x14ac:dyDescent="0.25">
      <c r="A24" s="49"/>
      <c r="B24" s="49"/>
      <c r="C24" s="49" t="s">
        <v>90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</row>
    <row r="25" spans="1:17" ht="30" customHeight="1" x14ac:dyDescent="0.25">
      <c r="A25" s="49"/>
      <c r="B25" s="49"/>
      <c r="C25" s="49" t="s">
        <v>90</v>
      </c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</row>
    <row r="26" spans="1:17" ht="30" customHeight="1" x14ac:dyDescent="0.25">
      <c r="A26" s="49"/>
      <c r="B26" s="49"/>
      <c r="C26" s="49" t="s">
        <v>90</v>
      </c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</row>
    <row r="27" spans="1:17" ht="30" customHeight="1" x14ac:dyDescent="0.25">
      <c r="A27" s="49"/>
      <c r="B27" s="49"/>
      <c r="C27" s="49" t="s">
        <v>90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</row>
    <row r="28" spans="1:17" ht="30" customHeight="1" x14ac:dyDescent="0.25">
      <c r="A28" s="49"/>
      <c r="B28" s="49"/>
      <c r="C28" s="49" t="s">
        <v>90</v>
      </c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</row>
    <row r="29" spans="1:17" ht="30" customHeight="1" x14ac:dyDescent="0.25">
      <c r="A29" s="49"/>
      <c r="B29" s="49"/>
      <c r="C29" s="49" t="s">
        <v>90</v>
      </c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</row>
    <row r="30" spans="1:17" ht="30" customHeight="1" x14ac:dyDescent="0.25">
      <c r="A30" s="49"/>
      <c r="B30" s="49"/>
      <c r="C30" s="49" t="s">
        <v>90</v>
      </c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</row>
    <row r="31" spans="1:17" ht="30" customHeight="1" x14ac:dyDescent="0.25">
      <c r="A31" s="49"/>
      <c r="B31" s="49"/>
      <c r="C31" s="49" t="s">
        <v>90</v>
      </c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</row>
    <row r="32" spans="1:17" ht="30" customHeight="1" x14ac:dyDescent="0.25">
      <c r="A32" s="49"/>
      <c r="B32" s="49"/>
      <c r="C32" s="49" t="s">
        <v>90</v>
      </c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</row>
    <row r="33" spans="1:17" ht="30" customHeight="1" x14ac:dyDescent="0.25">
      <c r="A33" s="49"/>
      <c r="B33" s="49"/>
      <c r="C33" s="49" t="s">
        <v>90</v>
      </c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</row>
    <row r="34" spans="1:17" ht="30" customHeight="1" x14ac:dyDescent="0.25">
      <c r="A34" s="49"/>
      <c r="B34" s="49"/>
      <c r="C34" s="49" t="s">
        <v>90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</row>
    <row r="35" spans="1:17" ht="30" customHeight="1" x14ac:dyDescent="0.25">
      <c r="A35" s="49"/>
      <c r="B35" s="49"/>
      <c r="C35" s="49" t="s">
        <v>90</v>
      </c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</row>
    <row r="36" spans="1:17" ht="30" customHeight="1" x14ac:dyDescent="0.25">
      <c r="A36" s="49"/>
      <c r="B36" s="49"/>
      <c r="C36" s="49" t="s">
        <v>90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</row>
    <row r="37" spans="1:17" ht="30" customHeight="1" x14ac:dyDescent="0.25">
      <c r="A37" s="55"/>
      <c r="B37" s="55"/>
      <c r="C37" s="55" t="s">
        <v>90</v>
      </c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</row>
    <row r="38" spans="1:17" x14ac:dyDescent="0.25">
      <c r="B38" s="81"/>
    </row>
    <row r="39" spans="1:17" x14ac:dyDescent="0.25">
      <c r="B39" s="81"/>
    </row>
  </sheetData>
  <mergeCells count="11">
    <mergeCell ref="K5:M6"/>
    <mergeCell ref="A1:A6"/>
    <mergeCell ref="B1:Q1"/>
    <mergeCell ref="B2:Q2"/>
    <mergeCell ref="B3:Q3"/>
    <mergeCell ref="B4:D4"/>
    <mergeCell ref="E4:J4"/>
    <mergeCell ref="K4:M4"/>
    <mergeCell ref="N4:Q6"/>
    <mergeCell ref="B5:D6"/>
    <mergeCell ref="E5:J6"/>
  </mergeCells>
  <conditionalFormatting sqref="H1:H7 H39:H1048576 G38">
    <cfRule type="cellIs" dxfId="273" priority="2" operator="greaterThan">
      <formula>5.2</formula>
    </cfRule>
  </conditionalFormatting>
  <conditionalFormatting sqref="H1:H8 H10:H37 H39:H1048576 G38">
    <cfRule type="cellIs" dxfId="272" priority="1" operator="lessThan">
      <formula>4.8</formula>
    </cfRule>
  </conditionalFormatting>
  <pageMargins left="0.7" right="0.7" top="0.75" bottom="0.75" header="0.3" footer="0.3"/>
  <pageSetup scale="47" orientation="landscape" horizontalDpi="0" verticalDpi="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16D71-97E8-45B9-B8F4-AAE1FF0E908C}">
  <sheetPr codeName="Hoja7">
    <pageSetUpPr fitToPage="1"/>
  </sheetPr>
  <dimension ref="A1:R38"/>
  <sheetViews>
    <sheetView view="pageBreakPreview" zoomScale="60" zoomScaleNormal="100" workbookViewId="0">
      <selection activeCell="F26" sqref="F26"/>
    </sheetView>
  </sheetViews>
  <sheetFormatPr baseColWidth="10" defaultRowHeight="15" x14ac:dyDescent="0.25"/>
  <cols>
    <col min="1" max="1" width="17" customWidth="1"/>
    <col min="3" max="3" width="18" customWidth="1"/>
    <col min="6" max="6" width="18.140625" customWidth="1"/>
    <col min="7" max="7" width="8.5703125" customWidth="1"/>
    <col min="9" max="9" width="20.7109375" customWidth="1"/>
    <col min="10" max="10" width="12" customWidth="1"/>
    <col min="11" max="11" width="15" customWidth="1"/>
    <col min="12" max="12" width="17.7109375" bestFit="1" customWidth="1"/>
    <col min="13" max="13" width="16.28515625" bestFit="1" customWidth="1"/>
    <col min="14" max="14" width="10.140625" bestFit="1" customWidth="1"/>
    <col min="15" max="15" width="22.42578125" customWidth="1"/>
    <col min="16" max="17" width="17.42578125" customWidth="1"/>
  </cols>
  <sheetData>
    <row r="1" spans="1:17" ht="16.5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1"/>
    </row>
    <row r="2" spans="1:17" ht="16.5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5"/>
    </row>
    <row r="3" spans="1:17" ht="19.5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8"/>
    </row>
    <row r="4" spans="1:17" ht="15.75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0"/>
      <c r="N4" s="20"/>
      <c r="O4" s="21"/>
      <c r="P4" s="22" t="s">
        <v>42</v>
      </c>
      <c r="Q4" s="22"/>
    </row>
    <row r="5" spans="1:17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6"/>
      <c r="K5" s="24" t="s">
        <v>44</v>
      </c>
      <c r="L5" s="25"/>
      <c r="M5" s="25"/>
      <c r="N5" s="25"/>
      <c r="O5" s="26"/>
      <c r="P5" s="22"/>
      <c r="Q5" s="22"/>
    </row>
    <row r="6" spans="1:17" ht="15.75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3"/>
      <c r="K6" s="31"/>
      <c r="L6" s="32"/>
      <c r="M6" s="32"/>
      <c r="N6" s="32"/>
      <c r="O6" s="33"/>
      <c r="P6" s="37"/>
      <c r="Q6" s="37"/>
    </row>
    <row r="7" spans="1:17" x14ac:dyDescent="0.25">
      <c r="A7" s="39">
        <f ca="1">TODAY()</f>
        <v>45822</v>
      </c>
      <c r="D7" s="40" t="s">
        <v>45</v>
      </c>
      <c r="F7" s="40" t="s">
        <v>45</v>
      </c>
    </row>
    <row r="8" spans="1:17" ht="107.25" customHeight="1" thickBot="1" x14ac:dyDescent="0.3">
      <c r="A8" s="56" t="s">
        <v>46</v>
      </c>
      <c r="B8" s="56" t="s">
        <v>47</v>
      </c>
      <c r="C8" s="56" t="s">
        <v>48</v>
      </c>
      <c r="D8" s="56" t="s">
        <v>49</v>
      </c>
      <c r="E8" s="56" t="s">
        <v>75</v>
      </c>
      <c r="F8" s="56" t="s">
        <v>51</v>
      </c>
      <c r="G8" s="57" t="s">
        <v>76</v>
      </c>
      <c r="H8" s="57" t="s">
        <v>77</v>
      </c>
      <c r="I8" s="57" t="s">
        <v>78</v>
      </c>
      <c r="J8" s="57" t="s">
        <v>58</v>
      </c>
      <c r="K8" s="57" t="s">
        <v>79</v>
      </c>
      <c r="L8" s="73" t="s">
        <v>80</v>
      </c>
      <c r="M8" s="74" t="s">
        <v>81</v>
      </c>
      <c r="N8" s="74" t="s">
        <v>69</v>
      </c>
      <c r="O8" s="58" t="s">
        <v>70</v>
      </c>
      <c r="P8" s="58" t="s">
        <v>71</v>
      </c>
      <c r="Q8" s="57" t="s">
        <v>62</v>
      </c>
    </row>
    <row r="9" spans="1:17" ht="30.75" customHeight="1" x14ac:dyDescent="0.25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</row>
    <row r="10" spans="1:17" ht="30.75" customHeight="1" x14ac:dyDescent="0.25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</row>
    <row r="11" spans="1:17" ht="30.75" customHeight="1" x14ac:dyDescent="0.2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</row>
    <row r="12" spans="1:17" ht="30.75" customHeight="1" x14ac:dyDescent="0.25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</row>
    <row r="13" spans="1:17" ht="30.75" customHeight="1" x14ac:dyDescent="0.25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</row>
    <row r="14" spans="1:17" ht="30.75" customHeight="1" x14ac:dyDescent="0.25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</row>
    <row r="15" spans="1:17" ht="30.75" customHeight="1" x14ac:dyDescent="0.25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</row>
    <row r="16" spans="1:17" ht="30.7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</row>
    <row r="17" spans="1:17" ht="30.75" customHeight="1" x14ac:dyDescent="0.25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</row>
    <row r="18" spans="1:17" ht="30.75" customHeight="1" x14ac:dyDescent="0.25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</row>
    <row r="19" spans="1:17" ht="30.75" customHeight="1" x14ac:dyDescent="0.25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</row>
    <row r="20" spans="1:17" ht="30.75" customHeight="1" x14ac:dyDescent="0.25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</row>
    <row r="21" spans="1:17" ht="30.75" customHeight="1" x14ac:dyDescent="0.25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</row>
    <row r="22" spans="1:17" ht="30.75" customHeight="1" x14ac:dyDescent="0.2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</row>
    <row r="23" spans="1:17" ht="30.75" customHeight="1" x14ac:dyDescent="0.25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</row>
    <row r="24" spans="1:17" ht="30.75" customHeight="1" x14ac:dyDescent="0.25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</row>
    <row r="25" spans="1:17" ht="30.75" customHeight="1" x14ac:dyDescent="0.25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</row>
    <row r="26" spans="1:17" ht="30.75" customHeight="1" x14ac:dyDescent="0.25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</row>
    <row r="27" spans="1:17" ht="30.75" customHeight="1" x14ac:dyDescent="0.25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</row>
    <row r="28" spans="1:17" ht="30.75" customHeight="1" x14ac:dyDescent="0.25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</row>
    <row r="29" spans="1:17" ht="30.75" customHeight="1" x14ac:dyDescent="0.25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</row>
    <row r="30" spans="1:17" ht="30.75" customHeight="1" x14ac:dyDescent="0.25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</row>
    <row r="31" spans="1:17" ht="30.75" customHeight="1" x14ac:dyDescent="0.25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</row>
    <row r="32" spans="1:17" ht="30.75" customHeight="1" x14ac:dyDescent="0.25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</row>
    <row r="33" spans="1:18" ht="30.75" customHeight="1" x14ac:dyDescent="0.25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</row>
    <row r="34" spans="1:18" ht="30.75" customHeight="1" x14ac:dyDescent="0.25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t="s">
        <v>72</v>
      </c>
    </row>
    <row r="35" spans="1:18" ht="26.25" customHeight="1" x14ac:dyDescent="0.25">
      <c r="A35" s="1"/>
      <c r="F35" t="s">
        <v>72</v>
      </c>
      <c r="G35" t="s">
        <v>72</v>
      </c>
      <c r="M35" t="s">
        <v>72</v>
      </c>
      <c r="N35" t="s">
        <v>72</v>
      </c>
      <c r="O35" t="s">
        <v>72</v>
      </c>
      <c r="P35" t="s">
        <v>72</v>
      </c>
      <c r="Q35" t="s">
        <v>72</v>
      </c>
      <c r="R35" t="s">
        <v>72</v>
      </c>
    </row>
    <row r="36" spans="1:18" x14ac:dyDescent="0.25">
      <c r="A36" s="1"/>
    </row>
    <row r="37" spans="1:18" x14ac:dyDescent="0.25">
      <c r="A37" s="1"/>
      <c r="F37" t="s">
        <v>72</v>
      </c>
      <c r="G37" t="s">
        <v>72</v>
      </c>
      <c r="M37" t="s">
        <v>72</v>
      </c>
      <c r="N37" t="s">
        <v>72</v>
      </c>
      <c r="O37" t="s">
        <v>72</v>
      </c>
      <c r="P37" t="s">
        <v>72</v>
      </c>
      <c r="Q37" t="s">
        <v>72</v>
      </c>
    </row>
    <row r="38" spans="1:18" x14ac:dyDescent="0.25">
      <c r="A38" s="1"/>
      <c r="F38" t="s">
        <v>72</v>
      </c>
      <c r="G38" t="s">
        <v>72</v>
      </c>
      <c r="M38" t="s">
        <v>72</v>
      </c>
      <c r="N38" t="s">
        <v>72</v>
      </c>
      <c r="O38" t="s">
        <v>72</v>
      </c>
      <c r="P38" t="s">
        <v>72</v>
      </c>
      <c r="Q38" t="s">
        <v>72</v>
      </c>
    </row>
  </sheetData>
  <mergeCells count="11">
    <mergeCell ref="K5:O6"/>
    <mergeCell ref="A1:A6"/>
    <mergeCell ref="B1:Q1"/>
    <mergeCell ref="B2:Q2"/>
    <mergeCell ref="B3:Q3"/>
    <mergeCell ref="B4:D4"/>
    <mergeCell ref="E4:J4"/>
    <mergeCell ref="K4:O4"/>
    <mergeCell ref="P4:Q6"/>
    <mergeCell ref="B5:D6"/>
    <mergeCell ref="E5:J6"/>
  </mergeCells>
  <pageMargins left="0.7" right="0.7" top="0.75" bottom="0.75" header="0.3" footer="0.3"/>
  <pageSetup scale="47" orientation="landscape" horizontalDpi="0" verticalDpi="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A001E-9655-4F5D-9CA9-4FBA04BD0ABF}">
  <sheetPr codeName="Hoja5"/>
  <dimension ref="A1:S9"/>
  <sheetViews>
    <sheetView zoomScale="80" zoomScaleNormal="80" workbookViewId="0">
      <selection activeCell="F26" sqref="F26"/>
    </sheetView>
  </sheetViews>
  <sheetFormatPr baseColWidth="10" defaultRowHeight="15" x14ac:dyDescent="0.25"/>
  <cols>
    <col min="1" max="1" width="17.85546875" customWidth="1"/>
    <col min="2" max="2" width="12" customWidth="1"/>
    <col min="3" max="3" width="26.85546875" customWidth="1"/>
    <col min="4" max="5" width="12" customWidth="1"/>
    <col min="6" max="6" width="19.7109375" customWidth="1"/>
    <col min="7" max="9" width="12" customWidth="1"/>
    <col min="10" max="10" width="13" customWidth="1"/>
    <col min="11" max="11" width="16.85546875" customWidth="1"/>
    <col min="12" max="12" width="27.7109375" bestFit="1" customWidth="1"/>
    <col min="13" max="17" width="13" customWidth="1"/>
  </cols>
  <sheetData>
    <row r="1" spans="1:19" ht="29.25" customHeight="1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1"/>
      <c r="R1" s="63"/>
      <c r="S1" s="63"/>
    </row>
    <row r="2" spans="1:19" ht="15.75" customHeight="1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5"/>
      <c r="R2" s="64"/>
      <c r="S2" s="64"/>
    </row>
    <row r="3" spans="1:19" ht="20.25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8"/>
      <c r="R3" s="65"/>
      <c r="S3" s="65"/>
    </row>
    <row r="4" spans="1:19" ht="15.75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0"/>
      <c r="N4" s="20"/>
      <c r="O4" s="21"/>
      <c r="P4" s="66" t="s">
        <v>42</v>
      </c>
      <c r="Q4" s="67"/>
      <c r="R4" s="68"/>
      <c r="S4" s="68"/>
    </row>
    <row r="5" spans="1:19" ht="16.5" customHeight="1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6"/>
      <c r="K5" s="24" t="s">
        <v>44</v>
      </c>
      <c r="L5" s="25"/>
      <c r="M5" s="25"/>
      <c r="N5" s="25"/>
      <c r="O5" s="26"/>
      <c r="P5" s="69"/>
      <c r="Q5" s="23"/>
      <c r="R5" s="68"/>
      <c r="S5" s="68"/>
    </row>
    <row r="6" spans="1:19" ht="15.75" customHeight="1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3"/>
      <c r="K6" s="31"/>
      <c r="L6" s="32"/>
      <c r="M6" s="32"/>
      <c r="N6" s="32"/>
      <c r="O6" s="33"/>
      <c r="P6" s="70"/>
      <c r="Q6" s="38"/>
      <c r="R6" s="68"/>
      <c r="S6" s="68"/>
    </row>
    <row r="7" spans="1:19" ht="15.75" thickBot="1" x14ac:dyDescent="0.3">
      <c r="A7" s="39">
        <f ca="1">TODAY()</f>
        <v>45822</v>
      </c>
      <c r="B7" s="71"/>
      <c r="C7" s="71"/>
      <c r="D7" s="71" t="s">
        <v>45</v>
      </c>
      <c r="F7" s="71" t="s">
        <v>73</v>
      </c>
    </row>
    <row r="8" spans="1:19" ht="45.75" thickBot="1" x14ac:dyDescent="0.3">
      <c r="A8" s="41" t="s">
        <v>46</v>
      </c>
      <c r="B8" s="43" t="s">
        <v>47</v>
      </c>
      <c r="C8" s="43" t="s">
        <v>48</v>
      </c>
      <c r="D8" s="43" t="s">
        <v>49</v>
      </c>
      <c r="E8" s="43" t="s">
        <v>50</v>
      </c>
      <c r="F8" s="43" t="s">
        <v>51</v>
      </c>
      <c r="G8" s="43" t="s">
        <v>52</v>
      </c>
      <c r="H8" s="44" t="s">
        <v>56</v>
      </c>
      <c r="I8" s="44" t="s">
        <v>57</v>
      </c>
      <c r="J8" s="44" t="s">
        <v>68</v>
      </c>
      <c r="K8" s="44" t="s">
        <v>74</v>
      </c>
      <c r="L8" s="44" t="s">
        <v>69</v>
      </c>
      <c r="M8" s="44" t="s">
        <v>70</v>
      </c>
      <c r="N8" s="46" t="s">
        <v>71</v>
      </c>
      <c r="O8" s="46" t="s">
        <v>62</v>
      </c>
      <c r="P8" s="46" t="s">
        <v>63</v>
      </c>
      <c r="Q8" s="46" t="s">
        <v>64</v>
      </c>
    </row>
    <row r="9" spans="1:19" x14ac:dyDescent="0.25">
      <c r="A9" s="1"/>
      <c r="Q9" s="72"/>
    </row>
  </sheetData>
  <mergeCells count="11">
    <mergeCell ref="K5:O6"/>
    <mergeCell ref="A1:A6"/>
    <mergeCell ref="B1:Q1"/>
    <mergeCell ref="B2:Q2"/>
    <mergeCell ref="B3:Q3"/>
    <mergeCell ref="B4:D4"/>
    <mergeCell ref="E4:J4"/>
    <mergeCell ref="K4:O4"/>
    <mergeCell ref="P4:Q6"/>
    <mergeCell ref="B5:D6"/>
    <mergeCell ref="E5:J6"/>
  </mergeCells>
  <conditionalFormatting sqref="H1:H7 H9:H1048576">
    <cfRule type="cellIs" dxfId="319" priority="3" operator="greaterThan">
      <formula>6</formula>
    </cfRule>
  </conditionalFormatting>
  <conditionalFormatting sqref="J1:J1048576">
    <cfRule type="cellIs" dxfId="318" priority="2" operator="equal">
      <formula>"C"</formula>
    </cfRule>
  </conditionalFormatting>
  <conditionalFormatting sqref="K1:K3 K9:K1048576 K7">
    <cfRule type="cellIs" dxfId="317" priority="1" operator="greaterThan">
      <formula>100</formula>
    </cfRule>
  </conditionalFormatting>
  <pageMargins left="0.7" right="0.7" top="0.75" bottom="0.75" header="0.3" footer="0.3"/>
  <pageSetup orientation="landscape" horizontalDpi="0" verticalDpi="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4C046-7137-451B-8A19-478E9A5D8FE4}">
  <sheetPr codeName="Hoja4"/>
  <dimension ref="A1:T12"/>
  <sheetViews>
    <sheetView workbookViewId="0">
      <selection activeCell="F26" sqref="F26"/>
    </sheetView>
  </sheetViews>
  <sheetFormatPr baseColWidth="10" defaultRowHeight="15" x14ac:dyDescent="0.25"/>
  <cols>
    <col min="1" max="1" width="17" customWidth="1"/>
    <col min="3" max="3" width="18" customWidth="1"/>
    <col min="6" max="6" width="18.140625" customWidth="1"/>
    <col min="9" max="9" width="20.7109375" customWidth="1"/>
    <col min="10" max="10" width="22" customWidth="1"/>
    <col min="11" max="11" width="20" customWidth="1"/>
    <col min="12" max="12" width="31.7109375" customWidth="1"/>
    <col min="13" max="13" width="18.85546875" customWidth="1"/>
    <col min="14" max="14" width="14.85546875" customWidth="1"/>
    <col min="15" max="15" width="16.42578125" customWidth="1"/>
    <col min="16" max="17" width="17.42578125" customWidth="1"/>
  </cols>
  <sheetData>
    <row r="1" spans="1:20" ht="16.5" thickBot="1" x14ac:dyDescent="0.3">
      <c r="A1" s="8"/>
      <c r="B1" s="9" t="s">
        <v>66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1"/>
    </row>
    <row r="2" spans="1:20" ht="16.5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5"/>
    </row>
    <row r="3" spans="1:20" ht="19.5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8"/>
    </row>
    <row r="4" spans="1:20" ht="15.75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0"/>
      <c r="N4" s="20"/>
      <c r="O4" s="21"/>
      <c r="P4" s="22" t="s">
        <v>42</v>
      </c>
      <c r="Q4" s="22"/>
      <c r="R4" s="22"/>
      <c r="S4" s="23"/>
    </row>
    <row r="5" spans="1:20" x14ac:dyDescent="0.25">
      <c r="A5" s="12"/>
      <c r="B5" s="24" t="s">
        <v>43</v>
      </c>
      <c r="C5" s="25"/>
      <c r="D5" s="26"/>
      <c r="E5" s="24">
        <v>1</v>
      </c>
      <c r="F5" s="25"/>
      <c r="G5" s="25"/>
      <c r="H5" s="25"/>
      <c r="I5" s="25"/>
      <c r="J5" s="26"/>
      <c r="K5" s="24" t="s">
        <v>44</v>
      </c>
      <c r="L5" s="25"/>
      <c r="M5" s="25"/>
      <c r="N5" s="25"/>
      <c r="O5" s="26"/>
      <c r="P5" s="22"/>
      <c r="Q5" s="22"/>
      <c r="R5" s="22"/>
      <c r="S5" s="23"/>
    </row>
    <row r="6" spans="1:20" ht="15.75" thickBot="1" x14ac:dyDescent="0.3">
      <c r="A6" s="30"/>
      <c r="B6" s="31"/>
      <c r="C6" s="32"/>
      <c r="D6" s="33"/>
      <c r="E6" s="31"/>
      <c r="F6" s="32"/>
      <c r="G6" s="32"/>
      <c r="H6" s="32"/>
      <c r="I6" s="32"/>
      <c r="J6" s="33"/>
      <c r="K6" s="31"/>
      <c r="L6" s="32"/>
      <c r="M6" s="32"/>
      <c r="N6" s="32"/>
      <c r="O6" s="33"/>
      <c r="P6" s="37"/>
      <c r="Q6" s="37"/>
      <c r="R6" s="37"/>
      <c r="S6" s="38"/>
    </row>
    <row r="7" spans="1:20" x14ac:dyDescent="0.25">
      <c r="A7" s="39">
        <f ca="1">TODAY()</f>
        <v>45822</v>
      </c>
      <c r="D7" s="40" t="s">
        <v>45</v>
      </c>
      <c r="F7" s="40" t="s">
        <v>45</v>
      </c>
    </row>
    <row r="8" spans="1:20" ht="30.75" thickBot="1" x14ac:dyDescent="0.3">
      <c r="A8" s="56" t="s">
        <v>46</v>
      </c>
      <c r="B8" s="56" t="s">
        <v>47</v>
      </c>
      <c r="C8" s="56" t="s">
        <v>48</v>
      </c>
      <c r="D8" s="56" t="s">
        <v>49</v>
      </c>
      <c r="E8" s="56" t="s">
        <v>50</v>
      </c>
      <c r="F8" s="56" t="s">
        <v>51</v>
      </c>
      <c r="G8" s="56" t="s">
        <v>52</v>
      </c>
      <c r="H8" s="57" t="s">
        <v>67</v>
      </c>
      <c r="I8" s="57" t="s">
        <v>56</v>
      </c>
      <c r="J8" s="57" t="s">
        <v>57</v>
      </c>
      <c r="K8" s="57" t="s">
        <v>68</v>
      </c>
      <c r="L8" s="57" t="s">
        <v>69</v>
      </c>
      <c r="M8" s="57" t="s">
        <v>70</v>
      </c>
      <c r="N8" s="58" t="s">
        <v>71</v>
      </c>
      <c r="O8" s="58" t="s">
        <v>62</v>
      </c>
      <c r="P8" s="58" t="s">
        <v>63</v>
      </c>
      <c r="Q8" s="57" t="s">
        <v>64</v>
      </c>
    </row>
    <row r="9" spans="1:20" ht="15.75" thickBot="1" x14ac:dyDescent="0.3">
      <c r="A9" s="59"/>
      <c r="B9" s="60"/>
      <c r="C9" s="61"/>
      <c r="D9" s="61"/>
      <c r="E9" s="61"/>
      <c r="F9" s="61"/>
      <c r="G9" s="56"/>
      <c r="H9" s="62"/>
      <c r="I9" s="62"/>
      <c r="J9" s="62"/>
      <c r="K9" s="62"/>
      <c r="L9" s="62"/>
      <c r="M9" s="62"/>
      <c r="N9" s="62"/>
      <c r="O9" s="62"/>
      <c r="P9" s="62"/>
      <c r="Q9" s="62"/>
    </row>
    <row r="10" spans="1:20" x14ac:dyDescent="0.25">
      <c r="A10" s="1"/>
      <c r="F10" t="s">
        <v>72</v>
      </c>
      <c r="G10" t="s">
        <v>72</v>
      </c>
      <c r="M10" t="s">
        <v>72</v>
      </c>
      <c r="N10" t="s">
        <v>72</v>
      </c>
      <c r="O10" t="s">
        <v>72</v>
      </c>
      <c r="P10" t="s">
        <v>72</v>
      </c>
      <c r="Q10" t="s">
        <v>72</v>
      </c>
    </row>
    <row r="11" spans="1:20" x14ac:dyDescent="0.25">
      <c r="A11" s="1"/>
      <c r="F11" t="s">
        <v>72</v>
      </c>
      <c r="G11" t="s">
        <v>72</v>
      </c>
      <c r="M11" t="s">
        <v>72</v>
      </c>
      <c r="N11" t="s">
        <v>72</v>
      </c>
      <c r="O11" t="s">
        <v>72</v>
      </c>
      <c r="P11" t="s">
        <v>72</v>
      </c>
      <c r="Q11" t="s">
        <v>72</v>
      </c>
      <c r="R11" t="s">
        <v>72</v>
      </c>
      <c r="S11" t="s">
        <v>72</v>
      </c>
      <c r="T11" t="s">
        <v>72</v>
      </c>
    </row>
    <row r="12" spans="1:20" x14ac:dyDescent="0.25">
      <c r="A12" s="1"/>
      <c r="F12" t="s">
        <v>72</v>
      </c>
      <c r="G12" t="s">
        <v>72</v>
      </c>
      <c r="M12" t="s">
        <v>72</v>
      </c>
      <c r="N12" t="s">
        <v>72</v>
      </c>
      <c r="O12" t="s">
        <v>72</v>
      </c>
      <c r="P12" t="s">
        <v>72</v>
      </c>
      <c r="Q12" t="s">
        <v>72</v>
      </c>
      <c r="R12" t="s">
        <v>72</v>
      </c>
      <c r="S12" t="s">
        <v>72</v>
      </c>
      <c r="T12" t="s">
        <v>72</v>
      </c>
    </row>
  </sheetData>
  <mergeCells count="11">
    <mergeCell ref="K5:O6"/>
    <mergeCell ref="A1:A6"/>
    <mergeCell ref="B1:S1"/>
    <mergeCell ref="B2:S2"/>
    <mergeCell ref="B3:S3"/>
    <mergeCell ref="B4:D4"/>
    <mergeCell ref="E4:J4"/>
    <mergeCell ref="K4:O4"/>
    <mergeCell ref="P4:S6"/>
    <mergeCell ref="B5:D6"/>
    <mergeCell ref="E5:J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995FF-8150-4466-87CB-680D6FCCEFEC}">
  <sheetPr codeName="Hoja3"/>
  <dimension ref="A1:T15"/>
  <sheetViews>
    <sheetView workbookViewId="0">
      <selection activeCell="F26" sqref="F26"/>
    </sheetView>
  </sheetViews>
  <sheetFormatPr baseColWidth="10" defaultRowHeight="15" x14ac:dyDescent="0.25"/>
  <cols>
    <col min="1" max="1" width="17.85546875" customWidth="1"/>
    <col min="2" max="2" width="13.5703125" customWidth="1"/>
    <col min="3" max="3" width="22" customWidth="1"/>
    <col min="4" max="6" width="12" customWidth="1"/>
    <col min="7" max="7" width="5.85546875" bestFit="1" customWidth="1"/>
    <col min="8" max="8" width="3.42578125" bestFit="1" customWidth="1"/>
    <col min="9" max="9" width="7.28515625" bestFit="1" customWidth="1"/>
    <col min="10" max="10" width="7.140625" bestFit="1" customWidth="1"/>
    <col min="11" max="11" width="10.42578125" bestFit="1" customWidth="1"/>
    <col min="12" max="12" width="10.5703125" bestFit="1" customWidth="1"/>
    <col min="13" max="13" width="6.42578125" bestFit="1" customWidth="1"/>
    <col min="14" max="14" width="10.140625" bestFit="1" customWidth="1"/>
    <col min="15" max="15" width="12" bestFit="1" customWidth="1"/>
    <col min="16" max="16" width="12.42578125" bestFit="1" customWidth="1"/>
    <col min="17" max="17" width="11.85546875" bestFit="1" customWidth="1"/>
    <col min="18" max="18" width="14.85546875" customWidth="1"/>
    <col min="19" max="19" width="15.7109375" customWidth="1"/>
    <col min="20" max="20" width="17.140625" customWidth="1"/>
  </cols>
  <sheetData>
    <row r="1" spans="1:20" ht="29.25" customHeight="1" thickBot="1" x14ac:dyDescent="0.3">
      <c r="A1" s="8"/>
      <c r="B1" s="9" t="s">
        <v>36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1"/>
    </row>
    <row r="2" spans="1:20" ht="15.75" customHeight="1" thickBot="1" x14ac:dyDescent="0.3">
      <c r="A2" s="12"/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5"/>
    </row>
    <row r="3" spans="1:20" ht="20.25" customHeight="1" thickBot="1" x14ac:dyDescent="0.3">
      <c r="A3" s="12"/>
      <c r="B3" s="16" t="s">
        <v>38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8"/>
    </row>
    <row r="4" spans="1:20" ht="31.5" customHeight="1" x14ac:dyDescent="0.25">
      <c r="A4" s="12"/>
      <c r="B4" s="19" t="s">
        <v>39</v>
      </c>
      <c r="C4" s="20"/>
      <c r="D4" s="21"/>
      <c r="E4" s="19" t="s">
        <v>40</v>
      </c>
      <c r="F4" s="20"/>
      <c r="G4" s="20"/>
      <c r="H4" s="20"/>
      <c r="I4" s="20"/>
      <c r="J4" s="21"/>
      <c r="K4" s="19" t="s">
        <v>41</v>
      </c>
      <c r="L4" s="20"/>
      <c r="M4" s="20"/>
      <c r="N4" s="20"/>
      <c r="O4" s="21"/>
      <c r="P4" s="22" t="s">
        <v>42</v>
      </c>
      <c r="Q4" s="22"/>
      <c r="R4" s="22"/>
      <c r="S4" s="23"/>
    </row>
    <row r="5" spans="1:20" ht="16.5" customHeight="1" x14ac:dyDescent="0.25">
      <c r="A5" s="12"/>
      <c r="B5" s="24" t="s">
        <v>43</v>
      </c>
      <c r="C5" s="25"/>
      <c r="D5" s="26"/>
      <c r="E5" s="27">
        <v>1</v>
      </c>
      <c r="F5" s="28"/>
      <c r="G5" s="28"/>
      <c r="H5" s="28"/>
      <c r="I5" s="28"/>
      <c r="J5" s="29"/>
      <c r="K5" s="24" t="s">
        <v>44</v>
      </c>
      <c r="L5" s="25"/>
      <c r="M5" s="25"/>
      <c r="N5" s="25"/>
      <c r="O5" s="26"/>
      <c r="P5" s="22"/>
      <c r="Q5" s="22"/>
      <c r="R5" s="22"/>
      <c r="S5" s="23"/>
    </row>
    <row r="6" spans="1:20" ht="15.75" customHeight="1" thickBot="1" x14ac:dyDescent="0.3">
      <c r="A6" s="30"/>
      <c r="B6" s="31"/>
      <c r="C6" s="32"/>
      <c r="D6" s="33"/>
      <c r="E6" s="34"/>
      <c r="F6" s="35"/>
      <c r="G6" s="35"/>
      <c r="H6" s="35"/>
      <c r="I6" s="35"/>
      <c r="J6" s="36"/>
      <c r="K6" s="31"/>
      <c r="L6" s="32"/>
      <c r="M6" s="32"/>
      <c r="N6" s="32"/>
      <c r="O6" s="33"/>
      <c r="P6" s="37"/>
      <c r="Q6" s="37"/>
      <c r="R6" s="37"/>
      <c r="S6" s="38"/>
    </row>
    <row r="7" spans="1:20" ht="15.75" thickBot="1" x14ac:dyDescent="0.3">
      <c r="A7" s="39">
        <f ca="1">TODAY()</f>
        <v>45822</v>
      </c>
      <c r="D7" s="40" t="s">
        <v>45</v>
      </c>
    </row>
    <row r="8" spans="1:20" ht="49.5" thickBot="1" x14ac:dyDescent="0.3">
      <c r="A8" s="41" t="s">
        <v>46</v>
      </c>
      <c r="B8" s="42" t="s">
        <v>47</v>
      </c>
      <c r="C8" s="43" t="s">
        <v>48</v>
      </c>
      <c r="D8" s="43" t="s">
        <v>49</v>
      </c>
      <c r="E8" s="43" t="s">
        <v>50</v>
      </c>
      <c r="F8" s="43" t="s">
        <v>51</v>
      </c>
      <c r="G8" s="43" t="s">
        <v>52</v>
      </c>
      <c r="H8" s="44" t="s">
        <v>53</v>
      </c>
      <c r="I8" s="45" t="s">
        <v>54</v>
      </c>
      <c r="J8" s="45" t="s">
        <v>55</v>
      </c>
      <c r="K8" s="45" t="s">
        <v>56</v>
      </c>
      <c r="L8" s="44" t="s">
        <v>57</v>
      </c>
      <c r="M8" s="44" t="s">
        <v>58</v>
      </c>
      <c r="N8" s="44" t="s">
        <v>59</v>
      </c>
      <c r="O8" s="44" t="s">
        <v>60</v>
      </c>
      <c r="P8" s="46" t="s">
        <v>61</v>
      </c>
      <c r="Q8" s="46" t="s">
        <v>62</v>
      </c>
      <c r="R8" s="46" t="s">
        <v>63</v>
      </c>
      <c r="S8" s="46" t="s">
        <v>64</v>
      </c>
      <c r="T8" s="47" t="s">
        <v>65</v>
      </c>
    </row>
    <row r="9" spans="1:20" x14ac:dyDescent="0.25">
      <c r="A9" s="48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</row>
    <row r="10" spans="1:20" x14ac:dyDescent="0.25">
      <c r="A10" s="48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</row>
    <row r="11" spans="1:20" x14ac:dyDescent="0.25">
      <c r="A11" s="48"/>
      <c r="B11" s="50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</row>
    <row r="12" spans="1:20" x14ac:dyDescent="0.25">
      <c r="A12" s="51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0" x14ac:dyDescent="0.25">
      <c r="A13" s="48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52"/>
      <c r="R13" s="52"/>
      <c r="S13" s="52"/>
      <c r="T13" s="49"/>
    </row>
    <row r="14" spans="1:20" x14ac:dyDescent="0.25">
      <c r="A14" s="51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</row>
    <row r="15" spans="1:20" x14ac:dyDescent="0.25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5"/>
      <c r="R15" s="55"/>
      <c r="S15" s="55"/>
      <c r="T15" s="55"/>
    </row>
  </sheetData>
  <mergeCells count="11">
    <mergeCell ref="K5:O6"/>
    <mergeCell ref="A1:A6"/>
    <mergeCell ref="B1:S1"/>
    <mergeCell ref="B2:S2"/>
    <mergeCell ref="B3:S3"/>
    <mergeCell ref="B4:D4"/>
    <mergeCell ref="E4:J4"/>
    <mergeCell ref="K4:O4"/>
    <mergeCell ref="P4:S6"/>
    <mergeCell ref="B5:D6"/>
    <mergeCell ref="E5:J6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168E7-BD84-4F5F-9006-200D537A4B50}">
  <sheetPr codeName="Hoja1"/>
  <dimension ref="A2:O38"/>
  <sheetViews>
    <sheetView workbookViewId="0">
      <selection activeCell="H18" sqref="H18"/>
    </sheetView>
  </sheetViews>
  <sheetFormatPr baseColWidth="10" defaultRowHeight="15" x14ac:dyDescent="0.25"/>
  <cols>
    <col min="13" max="14" width="13" bestFit="1" customWidth="1"/>
  </cols>
  <sheetData>
    <row r="2" spans="1:15" x14ac:dyDescent="0.25">
      <c r="A2" s="1"/>
      <c r="B2" s="2"/>
      <c r="H2" s="3"/>
    </row>
    <row r="3" spans="1:15" x14ac:dyDescent="0.25">
      <c r="A3" s="1"/>
      <c r="B3" s="2"/>
    </row>
    <row r="7" spans="1:15" x14ac:dyDescent="0.25">
      <c r="A7" s="1">
        <v>45807</v>
      </c>
      <c r="B7" s="2">
        <v>0.72916666666666663</v>
      </c>
      <c r="C7" t="s">
        <v>5</v>
      </c>
      <c r="D7" t="s">
        <v>6</v>
      </c>
      <c r="E7" t="s">
        <v>7</v>
      </c>
      <c r="F7" t="s">
        <v>4</v>
      </c>
      <c r="G7">
        <v>5</v>
      </c>
      <c r="H7" s="3">
        <v>3</v>
      </c>
      <c r="I7">
        <v>2</v>
      </c>
      <c r="J7" t="s">
        <v>8</v>
      </c>
      <c r="K7">
        <v>0</v>
      </c>
      <c r="L7">
        <v>2</v>
      </c>
      <c r="M7" t="s">
        <v>1</v>
      </c>
      <c r="N7" t="s">
        <v>1</v>
      </c>
    </row>
    <row r="8" spans="1:15" x14ac:dyDescent="0.25">
      <c r="A8" s="1">
        <v>45807</v>
      </c>
      <c r="B8" s="2">
        <v>0.73819444444444449</v>
      </c>
      <c r="C8" t="s">
        <v>2</v>
      </c>
      <c r="D8" t="s">
        <v>6</v>
      </c>
      <c r="E8" t="s">
        <v>9</v>
      </c>
      <c r="F8" t="s">
        <v>4</v>
      </c>
      <c r="G8">
        <v>5</v>
      </c>
      <c r="H8" s="3">
        <v>5</v>
      </c>
      <c r="I8">
        <v>2</v>
      </c>
      <c r="K8">
        <v>0</v>
      </c>
      <c r="L8">
        <v>2</v>
      </c>
      <c r="M8" t="s">
        <v>1</v>
      </c>
      <c r="N8" t="s">
        <v>1</v>
      </c>
    </row>
    <row r="9" spans="1:15" x14ac:dyDescent="0.25">
      <c r="A9" s="4">
        <v>45807</v>
      </c>
      <c r="B9" s="5">
        <v>0.75138888888888888</v>
      </c>
      <c r="C9" s="6" t="s">
        <v>2</v>
      </c>
      <c r="D9" s="6" t="s">
        <v>6</v>
      </c>
      <c r="E9" s="6" t="s">
        <v>10</v>
      </c>
      <c r="F9" s="6" t="s">
        <v>0</v>
      </c>
      <c r="G9" s="6">
        <v>10</v>
      </c>
      <c r="H9" s="7">
        <v>5</v>
      </c>
      <c r="I9" s="6">
        <v>0</v>
      </c>
      <c r="J9" s="6" t="s">
        <v>11</v>
      </c>
      <c r="K9" s="6">
        <v>0</v>
      </c>
      <c r="L9" s="6">
        <v>3</v>
      </c>
      <c r="M9" s="6" t="s">
        <v>1</v>
      </c>
      <c r="N9" s="6" t="s">
        <v>1</v>
      </c>
      <c r="O9" s="6" t="s">
        <v>12</v>
      </c>
    </row>
    <row r="10" spans="1:15" x14ac:dyDescent="0.25">
      <c r="A10" s="1">
        <v>45807</v>
      </c>
      <c r="B10" s="2">
        <v>0.43055555555555558</v>
      </c>
      <c r="C10" t="s">
        <v>2</v>
      </c>
      <c r="D10" t="s">
        <v>6</v>
      </c>
      <c r="E10" t="s">
        <v>13</v>
      </c>
      <c r="F10" t="s">
        <v>4</v>
      </c>
      <c r="G10">
        <v>15</v>
      </c>
      <c r="H10" s="3">
        <v>5</v>
      </c>
      <c r="I10">
        <v>0</v>
      </c>
      <c r="J10" t="s">
        <v>8</v>
      </c>
      <c r="K10">
        <v>0</v>
      </c>
      <c r="L10">
        <v>2</v>
      </c>
      <c r="M10" t="s">
        <v>1</v>
      </c>
      <c r="N10" t="s">
        <v>1</v>
      </c>
    </row>
    <row r="11" spans="1:15" x14ac:dyDescent="0.25">
      <c r="A11" s="1">
        <v>45807</v>
      </c>
      <c r="B11" s="2">
        <v>0.76111111111111107</v>
      </c>
      <c r="C11" t="s">
        <v>14</v>
      </c>
      <c r="D11" t="s">
        <v>6</v>
      </c>
      <c r="E11" t="s">
        <v>15</v>
      </c>
      <c r="F11" t="s">
        <v>16</v>
      </c>
      <c r="G11">
        <v>10</v>
      </c>
      <c r="H11" s="3">
        <v>0</v>
      </c>
      <c r="I11">
        <v>0</v>
      </c>
      <c r="K11">
        <v>0</v>
      </c>
    </row>
    <row r="12" spans="1:15" x14ac:dyDescent="0.25">
      <c r="A12" s="4">
        <v>45808</v>
      </c>
      <c r="B12" s="5">
        <v>0.3125</v>
      </c>
      <c r="C12" s="6" t="s">
        <v>2</v>
      </c>
      <c r="D12" s="6" t="s">
        <v>6</v>
      </c>
      <c r="E12" s="6" t="s">
        <v>3</v>
      </c>
      <c r="F12" s="6" t="s">
        <v>4</v>
      </c>
      <c r="G12" s="6">
        <v>1</v>
      </c>
      <c r="H12" s="7">
        <v>4.5</v>
      </c>
      <c r="I12" s="6">
        <v>2</v>
      </c>
      <c r="J12" s="6" t="s">
        <v>11</v>
      </c>
      <c r="K12" s="6">
        <v>0</v>
      </c>
      <c r="L12" s="6">
        <v>2</v>
      </c>
      <c r="M12" s="6" t="s">
        <v>1</v>
      </c>
      <c r="N12" s="6" t="s">
        <v>1</v>
      </c>
      <c r="O12" s="6" t="s">
        <v>17</v>
      </c>
    </row>
    <row r="13" spans="1:15" x14ac:dyDescent="0.25">
      <c r="A13" s="1">
        <v>45808</v>
      </c>
      <c r="B13" s="2">
        <v>0.56527777777777777</v>
      </c>
      <c r="C13" t="s">
        <v>2</v>
      </c>
      <c r="D13" t="s">
        <v>6</v>
      </c>
      <c r="E13" t="s">
        <v>18</v>
      </c>
      <c r="F13" t="s">
        <v>19</v>
      </c>
      <c r="G13">
        <v>5</v>
      </c>
      <c r="H13" s="3">
        <v>3</v>
      </c>
      <c r="I13">
        <v>2</v>
      </c>
      <c r="J13" t="s">
        <v>20</v>
      </c>
      <c r="K13">
        <v>0</v>
      </c>
      <c r="L13">
        <v>2</v>
      </c>
      <c r="M13" t="s">
        <v>1</v>
      </c>
      <c r="N13" t="s">
        <v>1</v>
      </c>
    </row>
    <row r="14" spans="1:15" x14ac:dyDescent="0.25">
      <c r="A14" s="1">
        <v>45808</v>
      </c>
      <c r="B14" s="2">
        <v>0.56736111111111109</v>
      </c>
      <c r="C14" t="s">
        <v>2</v>
      </c>
      <c r="D14" t="s">
        <v>6</v>
      </c>
      <c r="E14" t="s">
        <v>21</v>
      </c>
      <c r="F14" t="s">
        <v>22</v>
      </c>
      <c r="G14">
        <v>5</v>
      </c>
      <c r="H14" s="3">
        <v>0</v>
      </c>
      <c r="I14">
        <v>0</v>
      </c>
      <c r="J14" t="s">
        <v>8</v>
      </c>
      <c r="K14">
        <v>0</v>
      </c>
    </row>
    <row r="15" spans="1:15" x14ac:dyDescent="0.25">
      <c r="A15" s="1">
        <v>45808</v>
      </c>
      <c r="B15" s="2">
        <v>0.57361111111111107</v>
      </c>
      <c r="C15" t="s">
        <v>2</v>
      </c>
      <c r="D15" t="s">
        <v>6</v>
      </c>
      <c r="E15" t="s">
        <v>23</v>
      </c>
      <c r="F15" t="s">
        <v>24</v>
      </c>
      <c r="G15">
        <v>1</v>
      </c>
      <c r="H15" s="3">
        <v>0</v>
      </c>
      <c r="I15">
        <v>0</v>
      </c>
      <c r="J15" t="s">
        <v>8</v>
      </c>
      <c r="K15">
        <v>0</v>
      </c>
    </row>
    <row r="16" spans="1:15" x14ac:dyDescent="0.25">
      <c r="A16" s="1">
        <v>45808</v>
      </c>
      <c r="B16" s="2">
        <v>0.43125000000000002</v>
      </c>
      <c r="C16" t="s">
        <v>2</v>
      </c>
      <c r="D16" t="s">
        <v>6</v>
      </c>
      <c r="E16">
        <v>545</v>
      </c>
      <c r="F16">
        <v>454</v>
      </c>
      <c r="G16">
        <v>1</v>
      </c>
      <c r="H16" s="3">
        <v>5</v>
      </c>
      <c r="I16">
        <v>2</v>
      </c>
      <c r="J16" t="s">
        <v>8</v>
      </c>
      <c r="K16">
        <v>0</v>
      </c>
      <c r="L16">
        <v>2</v>
      </c>
      <c r="M16" t="s">
        <v>1</v>
      </c>
      <c r="N16" t="s">
        <v>1</v>
      </c>
    </row>
    <row r="17" spans="1:15" x14ac:dyDescent="0.25">
      <c r="A17" s="1">
        <v>45808</v>
      </c>
      <c r="B17" s="2">
        <v>0.58263888888888893</v>
      </c>
      <c r="C17" t="s">
        <v>2</v>
      </c>
      <c r="D17" t="s">
        <v>6</v>
      </c>
      <c r="E17">
        <v>4515</v>
      </c>
      <c r="F17" t="s">
        <v>16</v>
      </c>
      <c r="G17">
        <v>1</v>
      </c>
      <c r="H17" s="3">
        <v>0</v>
      </c>
      <c r="I17">
        <v>0</v>
      </c>
      <c r="K17">
        <v>0</v>
      </c>
    </row>
    <row r="18" spans="1:15" x14ac:dyDescent="0.25">
      <c r="A18" s="1">
        <v>45808</v>
      </c>
      <c r="B18" s="2">
        <v>0.58263888888888893</v>
      </c>
      <c r="C18" t="s">
        <v>2</v>
      </c>
      <c r="D18" t="s">
        <v>6</v>
      </c>
      <c r="E18">
        <v>4515</v>
      </c>
      <c r="F18" t="s">
        <v>16</v>
      </c>
      <c r="G18">
        <v>10</v>
      </c>
      <c r="H18" s="3">
        <v>0</v>
      </c>
      <c r="I18">
        <v>0</v>
      </c>
      <c r="K18">
        <v>0</v>
      </c>
      <c r="L18">
        <v>2</v>
      </c>
      <c r="M18" t="s">
        <v>1</v>
      </c>
      <c r="N18" t="s">
        <v>1</v>
      </c>
    </row>
    <row r="19" spans="1:15" x14ac:dyDescent="0.25">
      <c r="A19" s="1">
        <v>45808</v>
      </c>
      <c r="B19" s="2">
        <v>0.58333333333333337</v>
      </c>
      <c r="C19" t="s">
        <v>2</v>
      </c>
      <c r="D19" t="s">
        <v>6</v>
      </c>
      <c r="E19">
        <v>4515</v>
      </c>
      <c r="F19" t="s">
        <v>16</v>
      </c>
      <c r="G19">
        <v>43</v>
      </c>
      <c r="H19" s="3">
        <v>0</v>
      </c>
      <c r="I19">
        <v>0</v>
      </c>
      <c r="K19">
        <v>0</v>
      </c>
      <c r="L19">
        <v>2</v>
      </c>
      <c r="M19" t="s">
        <v>1</v>
      </c>
      <c r="N19" t="s">
        <v>1</v>
      </c>
      <c r="O19" t="s">
        <v>25</v>
      </c>
    </row>
    <row r="20" spans="1:15" x14ac:dyDescent="0.25">
      <c r="A20" s="1">
        <v>45808</v>
      </c>
      <c r="B20" s="2">
        <v>0.58333333333333337</v>
      </c>
      <c r="C20" t="s">
        <v>2</v>
      </c>
      <c r="D20" t="s">
        <v>6</v>
      </c>
      <c r="E20">
        <v>4515</v>
      </c>
      <c r="F20" t="s">
        <v>16</v>
      </c>
      <c r="G20">
        <v>50</v>
      </c>
      <c r="H20" s="3">
        <v>0</v>
      </c>
      <c r="I20">
        <v>0</v>
      </c>
      <c r="K20">
        <v>0</v>
      </c>
      <c r="L20">
        <v>2</v>
      </c>
      <c r="M20" t="s">
        <v>1</v>
      </c>
      <c r="N20" t="s">
        <v>1</v>
      </c>
    </row>
    <row r="21" spans="1:15" x14ac:dyDescent="0.25">
      <c r="A21" s="1">
        <v>45808</v>
      </c>
      <c r="B21" s="2">
        <v>0.58333333333333337</v>
      </c>
      <c r="C21" t="s">
        <v>2</v>
      </c>
      <c r="D21" t="s">
        <v>6</v>
      </c>
      <c r="E21">
        <v>4515</v>
      </c>
      <c r="F21" t="s">
        <v>16</v>
      </c>
      <c r="G21">
        <v>60</v>
      </c>
      <c r="H21" s="3">
        <v>0</v>
      </c>
      <c r="I21">
        <v>0</v>
      </c>
      <c r="K21">
        <v>0</v>
      </c>
      <c r="L21">
        <v>2</v>
      </c>
      <c r="M21" t="s">
        <v>1</v>
      </c>
      <c r="N21" t="s">
        <v>1</v>
      </c>
    </row>
    <row r="22" spans="1:15" x14ac:dyDescent="0.25">
      <c r="A22" s="1">
        <v>45808</v>
      </c>
      <c r="B22" s="2">
        <v>0.58680555555555558</v>
      </c>
      <c r="C22" t="s">
        <v>2</v>
      </c>
      <c r="D22" t="s">
        <v>6</v>
      </c>
      <c r="E22">
        <v>4545</v>
      </c>
      <c r="F22" t="s">
        <v>26</v>
      </c>
      <c r="G22">
        <v>1</v>
      </c>
      <c r="H22" s="3">
        <v>5</v>
      </c>
      <c r="I22">
        <v>0</v>
      </c>
      <c r="K22">
        <v>0</v>
      </c>
    </row>
    <row r="23" spans="1:15" x14ac:dyDescent="0.25">
      <c r="A23" s="1">
        <v>45808</v>
      </c>
      <c r="B23" s="2">
        <v>0.58750000000000002</v>
      </c>
      <c r="C23" t="s">
        <v>2</v>
      </c>
      <c r="D23" t="s">
        <v>6</v>
      </c>
      <c r="E23">
        <v>4545</v>
      </c>
      <c r="F23" t="s">
        <v>26</v>
      </c>
      <c r="G23">
        <v>400</v>
      </c>
      <c r="H23" s="3">
        <v>0</v>
      </c>
      <c r="I23">
        <v>0</v>
      </c>
      <c r="K23">
        <v>0</v>
      </c>
    </row>
    <row r="24" spans="1:15" x14ac:dyDescent="0.25">
      <c r="A24" s="1">
        <v>45808</v>
      </c>
      <c r="B24" s="2">
        <v>0.59861111111111109</v>
      </c>
      <c r="C24" t="s">
        <v>2</v>
      </c>
      <c r="D24" t="s">
        <v>6</v>
      </c>
      <c r="E24" t="s">
        <v>27</v>
      </c>
      <c r="F24" t="s">
        <v>4</v>
      </c>
      <c r="G24">
        <v>44</v>
      </c>
      <c r="H24" s="3">
        <v>5</v>
      </c>
      <c r="I24">
        <v>2</v>
      </c>
      <c r="J24" t="s">
        <v>8</v>
      </c>
      <c r="K24">
        <v>0</v>
      </c>
      <c r="L24">
        <v>2</v>
      </c>
      <c r="M24" t="s">
        <v>1</v>
      </c>
      <c r="N24" t="s">
        <v>1</v>
      </c>
    </row>
    <row r="25" spans="1:15" x14ac:dyDescent="0.25">
      <c r="A25" s="1">
        <v>45808</v>
      </c>
      <c r="B25" s="2">
        <v>0.59861111111111109</v>
      </c>
      <c r="C25" t="s">
        <v>2</v>
      </c>
      <c r="D25" t="s">
        <v>6</v>
      </c>
      <c r="E25" t="s">
        <v>27</v>
      </c>
      <c r="F25" t="s">
        <v>4</v>
      </c>
      <c r="G25">
        <v>54</v>
      </c>
      <c r="H25" s="3">
        <v>6</v>
      </c>
      <c r="I25">
        <v>3</v>
      </c>
      <c r="J25" t="s">
        <v>8</v>
      </c>
      <c r="K25">
        <v>0</v>
      </c>
      <c r="L25">
        <v>2</v>
      </c>
      <c r="M25" t="s">
        <v>1</v>
      </c>
      <c r="N25" t="s">
        <v>1</v>
      </c>
    </row>
    <row r="26" spans="1:15" x14ac:dyDescent="0.25">
      <c r="A26" s="1">
        <v>45808</v>
      </c>
      <c r="B26" s="2">
        <v>0.59930555555555554</v>
      </c>
      <c r="C26" t="s">
        <v>2</v>
      </c>
      <c r="D26" t="s">
        <v>6</v>
      </c>
      <c r="E26" t="s">
        <v>27</v>
      </c>
      <c r="F26" t="s">
        <v>4</v>
      </c>
      <c r="G26">
        <v>64</v>
      </c>
      <c r="H26" s="3">
        <v>6</v>
      </c>
      <c r="I26">
        <v>0</v>
      </c>
      <c r="K26">
        <v>0</v>
      </c>
      <c r="L26">
        <v>2</v>
      </c>
      <c r="M26" t="s">
        <v>1</v>
      </c>
      <c r="N26" t="s">
        <v>1</v>
      </c>
    </row>
    <row r="27" spans="1:15" x14ac:dyDescent="0.25">
      <c r="A27" s="1">
        <v>45808</v>
      </c>
      <c r="B27" s="2">
        <v>0.60138888888888886</v>
      </c>
      <c r="C27" t="s">
        <v>14</v>
      </c>
      <c r="D27" t="s">
        <v>6</v>
      </c>
      <c r="E27" t="s">
        <v>28</v>
      </c>
      <c r="F27" t="s">
        <v>0</v>
      </c>
      <c r="G27">
        <v>52</v>
      </c>
      <c r="H27" s="3">
        <v>6</v>
      </c>
      <c r="I27">
        <v>2</v>
      </c>
      <c r="J27" t="s">
        <v>8</v>
      </c>
      <c r="K27">
        <v>0</v>
      </c>
      <c r="L27">
        <v>2</v>
      </c>
      <c r="M27" t="s">
        <v>1</v>
      </c>
      <c r="N27" t="s">
        <v>1</v>
      </c>
    </row>
    <row r="28" spans="1:15" x14ac:dyDescent="0.25">
      <c r="A28" s="4">
        <v>45808</v>
      </c>
      <c r="B28" s="5">
        <v>0.6020833333333333</v>
      </c>
      <c r="C28" s="6" t="s">
        <v>14</v>
      </c>
      <c r="D28" s="6" t="s">
        <v>6</v>
      </c>
      <c r="E28" s="6" t="s">
        <v>28</v>
      </c>
      <c r="F28" s="6" t="s">
        <v>0</v>
      </c>
      <c r="G28" s="6">
        <v>62</v>
      </c>
      <c r="H28" s="7">
        <v>5</v>
      </c>
      <c r="I28" s="6">
        <v>0</v>
      </c>
      <c r="J28" s="6" t="s">
        <v>11</v>
      </c>
      <c r="K28" s="6">
        <v>0</v>
      </c>
      <c r="L28" s="6">
        <v>2</v>
      </c>
      <c r="M28" s="6" t="s">
        <v>1</v>
      </c>
      <c r="N28" s="6" t="s">
        <v>1</v>
      </c>
      <c r="O28" s="6" t="s">
        <v>29</v>
      </c>
    </row>
    <row r="29" spans="1:15" x14ac:dyDescent="0.25">
      <c r="A29" s="1">
        <v>45808</v>
      </c>
      <c r="B29" s="2">
        <v>0.60277777777777775</v>
      </c>
      <c r="C29" t="s">
        <v>14</v>
      </c>
      <c r="D29" t="s">
        <v>6</v>
      </c>
      <c r="E29" t="s">
        <v>28</v>
      </c>
      <c r="F29" t="s">
        <v>0</v>
      </c>
      <c r="G29">
        <v>62</v>
      </c>
      <c r="H29" s="3">
        <v>0</v>
      </c>
      <c r="I29">
        <v>0</v>
      </c>
      <c r="J29" t="s">
        <v>8</v>
      </c>
      <c r="K29">
        <v>0</v>
      </c>
      <c r="L29">
        <v>2</v>
      </c>
      <c r="M29" t="s">
        <v>1</v>
      </c>
      <c r="N29" t="s">
        <v>1</v>
      </c>
    </row>
    <row r="30" spans="1:15" x14ac:dyDescent="0.25">
      <c r="A30" s="1">
        <v>45808</v>
      </c>
      <c r="B30" s="2">
        <v>0.60486111111111107</v>
      </c>
      <c r="C30" t="s">
        <v>2</v>
      </c>
      <c r="D30" t="s">
        <v>6</v>
      </c>
      <c r="E30">
        <v>454</v>
      </c>
      <c r="F30" t="s">
        <v>28</v>
      </c>
      <c r="G30">
        <v>55</v>
      </c>
      <c r="H30" s="3">
        <v>5</v>
      </c>
      <c r="I30">
        <v>2</v>
      </c>
      <c r="J30" t="s">
        <v>20</v>
      </c>
      <c r="K30">
        <v>0</v>
      </c>
      <c r="L30">
        <v>2</v>
      </c>
      <c r="M30" t="s">
        <v>1</v>
      </c>
      <c r="N30" t="s">
        <v>1</v>
      </c>
    </row>
    <row r="31" spans="1:15" x14ac:dyDescent="0.25">
      <c r="A31" s="1">
        <v>45808</v>
      </c>
      <c r="B31" s="2">
        <v>0.6069444444444444</v>
      </c>
      <c r="C31" t="s">
        <v>14</v>
      </c>
      <c r="D31" t="s">
        <v>6</v>
      </c>
      <c r="E31">
        <v>451</v>
      </c>
      <c r="F31" t="s">
        <v>0</v>
      </c>
      <c r="G31">
        <v>1</v>
      </c>
      <c r="H31" s="3">
        <v>5</v>
      </c>
      <c r="I31">
        <v>5</v>
      </c>
      <c r="J31" t="s">
        <v>8</v>
      </c>
      <c r="K31">
        <v>0</v>
      </c>
      <c r="L31">
        <v>2</v>
      </c>
      <c r="M31" t="s">
        <v>1</v>
      </c>
      <c r="N31" t="s">
        <v>1</v>
      </c>
    </row>
    <row r="32" spans="1:15" x14ac:dyDescent="0.25">
      <c r="A32" s="1">
        <v>45808</v>
      </c>
      <c r="B32" s="2">
        <v>0.43055555555555558</v>
      </c>
      <c r="C32" t="s">
        <v>2</v>
      </c>
      <c r="D32" t="s">
        <v>6</v>
      </c>
      <c r="E32" t="s">
        <v>30</v>
      </c>
      <c r="F32" t="s">
        <v>0</v>
      </c>
      <c r="G32">
        <v>15</v>
      </c>
      <c r="H32" s="3">
        <v>5</v>
      </c>
      <c r="I32">
        <v>5</v>
      </c>
      <c r="J32" t="s">
        <v>8</v>
      </c>
      <c r="K32">
        <v>0</v>
      </c>
      <c r="L32">
        <v>2</v>
      </c>
      <c r="M32" t="s">
        <v>1</v>
      </c>
      <c r="N32" t="s">
        <v>1</v>
      </c>
    </row>
    <row r="33" spans="1:15" x14ac:dyDescent="0.25">
      <c r="A33" s="4">
        <v>45808</v>
      </c>
      <c r="B33" s="5">
        <v>0.61250000000000004</v>
      </c>
      <c r="C33" s="6" t="s">
        <v>2</v>
      </c>
      <c r="D33" s="6" t="s">
        <v>6</v>
      </c>
      <c r="E33" s="6" t="s">
        <v>30</v>
      </c>
      <c r="F33" s="6" t="s">
        <v>0</v>
      </c>
      <c r="G33" s="6">
        <v>25</v>
      </c>
      <c r="H33" s="7">
        <v>5</v>
      </c>
      <c r="I33" s="6">
        <v>7</v>
      </c>
      <c r="J33" s="6" t="s">
        <v>11</v>
      </c>
      <c r="K33" s="6">
        <v>0</v>
      </c>
      <c r="L33" s="6">
        <v>2</v>
      </c>
      <c r="M33" s="6" t="s">
        <v>1</v>
      </c>
      <c r="N33" s="6" t="s">
        <v>1</v>
      </c>
      <c r="O33" s="6" t="s">
        <v>31</v>
      </c>
    </row>
    <row r="34" spans="1:15" x14ac:dyDescent="0.25">
      <c r="A34" s="4">
        <v>45808</v>
      </c>
      <c r="B34" s="5">
        <v>0.61250000000000004</v>
      </c>
      <c r="C34" s="6" t="s">
        <v>2</v>
      </c>
      <c r="D34" s="6" t="s">
        <v>6</v>
      </c>
      <c r="E34" s="6" t="s">
        <v>30</v>
      </c>
      <c r="F34" s="6" t="s">
        <v>0</v>
      </c>
      <c r="G34" s="6">
        <v>35</v>
      </c>
      <c r="H34" s="7">
        <v>5</v>
      </c>
      <c r="I34" s="6">
        <v>6</v>
      </c>
      <c r="J34" s="6" t="s">
        <v>11</v>
      </c>
      <c r="K34" s="6">
        <v>0</v>
      </c>
      <c r="L34" s="6">
        <v>2</v>
      </c>
      <c r="M34" s="6" t="s">
        <v>1</v>
      </c>
      <c r="N34" s="6" t="s">
        <v>1</v>
      </c>
      <c r="O34" s="6" t="s">
        <v>32</v>
      </c>
    </row>
    <row r="35" spans="1:15" x14ac:dyDescent="0.25">
      <c r="A35" s="1">
        <v>45808</v>
      </c>
      <c r="B35" s="2">
        <v>0.43055555555555558</v>
      </c>
      <c r="C35" t="s">
        <v>2</v>
      </c>
      <c r="D35" t="s">
        <v>6</v>
      </c>
      <c r="E35" t="s">
        <v>33</v>
      </c>
      <c r="F35" t="s">
        <v>4</v>
      </c>
      <c r="G35">
        <v>5</v>
      </c>
      <c r="H35" s="3">
        <v>5</v>
      </c>
      <c r="I35">
        <v>3</v>
      </c>
      <c r="J35" t="s">
        <v>8</v>
      </c>
      <c r="K35">
        <v>0</v>
      </c>
      <c r="L35">
        <v>2</v>
      </c>
      <c r="M35" t="s">
        <v>1</v>
      </c>
      <c r="N35" t="s">
        <v>1</v>
      </c>
    </row>
    <row r="36" spans="1:15" x14ac:dyDescent="0.25">
      <c r="A36" s="1">
        <v>45808</v>
      </c>
      <c r="B36" s="2">
        <v>0.43055555555555558</v>
      </c>
      <c r="C36" t="s">
        <v>2</v>
      </c>
      <c r="D36" t="s">
        <v>6</v>
      </c>
      <c r="E36" t="s">
        <v>34</v>
      </c>
      <c r="F36" t="s">
        <v>16</v>
      </c>
      <c r="G36">
        <v>4</v>
      </c>
      <c r="H36" s="3">
        <v>5</v>
      </c>
      <c r="I36">
        <v>3</v>
      </c>
      <c r="J36" t="s">
        <v>8</v>
      </c>
      <c r="K36">
        <v>0</v>
      </c>
      <c r="L36">
        <v>2</v>
      </c>
      <c r="M36" t="s">
        <v>1</v>
      </c>
      <c r="N36" t="s">
        <v>1</v>
      </c>
    </row>
    <row r="37" spans="1:15" x14ac:dyDescent="0.25">
      <c r="A37" s="1">
        <v>45808</v>
      </c>
      <c r="B37" s="2">
        <v>0.43055555555555558</v>
      </c>
      <c r="C37" t="s">
        <v>2</v>
      </c>
      <c r="D37" t="s">
        <v>6</v>
      </c>
      <c r="E37">
        <v>454</v>
      </c>
      <c r="F37" t="s">
        <v>35</v>
      </c>
      <c r="G37">
        <v>12</v>
      </c>
      <c r="H37" s="3">
        <v>5</v>
      </c>
      <c r="I37">
        <v>3</v>
      </c>
      <c r="J37" t="s">
        <v>8</v>
      </c>
      <c r="K37">
        <v>0</v>
      </c>
      <c r="L37">
        <v>2</v>
      </c>
      <c r="M37" t="s">
        <v>1</v>
      </c>
      <c r="N37" t="s">
        <v>1</v>
      </c>
    </row>
    <row r="38" spans="1:15" x14ac:dyDescent="0.25">
      <c r="A38" s="1">
        <v>45808</v>
      </c>
      <c r="B38" s="2">
        <v>0.41666666666666669</v>
      </c>
      <c r="C38" t="s">
        <v>2</v>
      </c>
      <c r="D38" t="s">
        <v>6</v>
      </c>
      <c r="E38">
        <v>454</v>
      </c>
      <c r="F38" t="s">
        <v>35</v>
      </c>
      <c r="G38">
        <v>22</v>
      </c>
      <c r="H38" s="3">
        <v>5</v>
      </c>
      <c r="I38">
        <v>5</v>
      </c>
      <c r="J38" t="s">
        <v>8</v>
      </c>
      <c r="K38">
        <v>0</v>
      </c>
      <c r="L38">
        <v>2</v>
      </c>
      <c r="M38" t="s">
        <v>1</v>
      </c>
      <c r="N38" t="s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erificarGuardadoAutomatico">
                <anchor moveWithCells="1" sizeWithCells="1">
                  <from>
                    <xdr:col>8</xdr:col>
                    <xdr:colOff>133350</xdr:colOff>
                    <xdr:row>3</xdr:row>
                    <xdr:rowOff>152400</xdr:rowOff>
                  </from>
                  <to>
                    <xdr:col>9</xdr:col>
                    <xdr:colOff>419100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E32F-C711-4384-A01B-5598BAF4B969}">
  <sheetPr codeName="Hoja2"/>
  <dimension ref="A1:W51"/>
  <sheetViews>
    <sheetView workbookViewId="0">
      <selection activeCell="N16" sqref="N16:R16"/>
    </sheetView>
  </sheetViews>
  <sheetFormatPr baseColWidth="10" defaultRowHeight="15" x14ac:dyDescent="0.25"/>
  <cols>
    <col min="1" max="5" width="4.7109375" customWidth="1"/>
    <col min="6" max="6" width="5.140625" customWidth="1"/>
    <col min="7" max="7" width="5.7109375" customWidth="1"/>
    <col min="8" max="8" width="4.7109375" customWidth="1"/>
    <col min="9" max="9" width="5.5703125" customWidth="1"/>
    <col min="10" max="12" width="4.7109375" customWidth="1"/>
    <col min="13" max="13" width="6.7109375" customWidth="1"/>
    <col min="14" max="23" width="4.7109375" customWidth="1"/>
  </cols>
  <sheetData>
    <row r="1" spans="1:23" x14ac:dyDescent="0.25">
      <c r="A1" s="215"/>
      <c r="B1" s="216"/>
      <c r="C1" s="216"/>
      <c r="D1" s="216"/>
      <c r="E1" s="217"/>
      <c r="F1" s="218" t="s">
        <v>188</v>
      </c>
      <c r="G1" s="219"/>
      <c r="H1" s="219"/>
      <c r="I1" s="219"/>
      <c r="J1" s="219"/>
      <c r="K1" s="219"/>
      <c r="L1" s="219"/>
      <c r="M1" s="219"/>
      <c r="N1" s="219"/>
      <c r="O1" s="219"/>
      <c r="P1" s="220" t="s">
        <v>189</v>
      </c>
      <c r="Q1" s="221"/>
      <c r="R1" s="221"/>
      <c r="S1" s="221"/>
      <c r="T1" s="222">
        <f>DatosCertificado!B1</f>
        <v>45767</v>
      </c>
      <c r="U1" s="221"/>
      <c r="V1" s="221"/>
      <c r="W1" s="223"/>
    </row>
    <row r="2" spans="1:23" x14ac:dyDescent="0.25">
      <c r="A2" s="224"/>
      <c r="B2" s="225"/>
      <c r="C2" s="225"/>
      <c r="D2" s="225"/>
      <c r="E2" s="226"/>
      <c r="F2" s="227"/>
      <c r="G2" s="228"/>
      <c r="H2" s="228"/>
      <c r="I2" s="228"/>
      <c r="J2" s="228"/>
      <c r="K2" s="228"/>
      <c r="L2" s="228"/>
      <c r="M2" s="228"/>
      <c r="N2" s="228"/>
      <c r="O2" s="228"/>
      <c r="P2" s="229" t="s">
        <v>190</v>
      </c>
      <c r="Q2" s="230"/>
      <c r="R2" s="230">
        <f>DatosCertificado!B2</f>
        <v>34381</v>
      </c>
      <c r="S2" s="230"/>
      <c r="T2" s="230"/>
      <c r="U2" s="230"/>
      <c r="V2" s="230"/>
      <c r="W2" s="231"/>
    </row>
    <row r="3" spans="1:23" x14ac:dyDescent="0.25">
      <c r="A3" s="224"/>
      <c r="B3" s="225"/>
      <c r="C3" s="225"/>
      <c r="D3" s="225"/>
      <c r="E3" s="226"/>
      <c r="F3" s="232" t="str">
        <f>DatosCertificado!B3</f>
        <v>SUERO DE MANTEQUILLA LIQUIDO</v>
      </c>
      <c r="G3" s="233"/>
      <c r="H3" s="233"/>
      <c r="I3" s="233"/>
      <c r="J3" s="233"/>
      <c r="K3" s="233"/>
      <c r="L3" s="233"/>
      <c r="M3" s="233"/>
      <c r="N3" s="233"/>
      <c r="O3" s="233"/>
      <c r="P3" s="229" t="s">
        <v>192</v>
      </c>
      <c r="Q3" s="230"/>
      <c r="R3" s="234">
        <f>DatosCertificado!B4</f>
        <v>40650</v>
      </c>
      <c r="S3" s="230"/>
      <c r="T3" s="230"/>
      <c r="U3" s="230"/>
      <c r="V3" s="230"/>
      <c r="W3" s="231"/>
    </row>
    <row r="4" spans="1:23" x14ac:dyDescent="0.25">
      <c r="A4" s="224"/>
      <c r="B4" s="225"/>
      <c r="C4" s="225"/>
      <c r="D4" s="225"/>
      <c r="E4" s="226"/>
      <c r="F4" s="232"/>
      <c r="G4" s="233"/>
      <c r="H4" s="233"/>
      <c r="I4" s="233"/>
      <c r="J4" s="233"/>
      <c r="K4" s="233"/>
      <c r="L4" s="233"/>
      <c r="M4" s="233"/>
      <c r="N4" s="233"/>
      <c r="O4" s="233"/>
      <c r="P4" s="235"/>
      <c r="Q4" s="236"/>
      <c r="R4" s="236"/>
      <c r="S4" s="236"/>
      <c r="T4" s="230"/>
      <c r="U4" s="230"/>
      <c r="V4" s="230"/>
      <c r="W4" s="231"/>
    </row>
    <row r="5" spans="1:23" ht="15.75" thickBot="1" x14ac:dyDescent="0.3">
      <c r="A5" s="237"/>
      <c r="B5" s="238"/>
      <c r="C5" s="238"/>
      <c r="D5" s="238"/>
      <c r="E5" s="239"/>
      <c r="F5" s="240"/>
      <c r="G5" s="241"/>
      <c r="H5" s="241"/>
      <c r="I5" s="241"/>
      <c r="J5" s="241"/>
      <c r="K5" s="241"/>
      <c r="L5" s="241"/>
      <c r="M5" s="241"/>
      <c r="N5" s="241"/>
      <c r="O5" s="241"/>
      <c r="P5" s="242" t="s">
        <v>193</v>
      </c>
      <c r="Q5" s="243"/>
      <c r="R5" s="243"/>
      <c r="S5" s="243"/>
      <c r="T5" s="244">
        <f>DatosCertificado!B5</f>
        <v>45767</v>
      </c>
      <c r="U5" s="243"/>
      <c r="V5" s="243"/>
      <c r="W5" s="245"/>
    </row>
    <row r="6" spans="1:23" ht="18.75" x14ac:dyDescent="0.25">
      <c r="A6" s="246"/>
      <c r="B6" s="246"/>
      <c r="C6" s="246"/>
      <c r="D6" s="246"/>
      <c r="E6" s="246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8"/>
      <c r="Q6" s="248"/>
      <c r="R6" s="248"/>
      <c r="S6" s="248"/>
      <c r="T6" s="249"/>
      <c r="U6" s="248"/>
      <c r="V6" s="248"/>
      <c r="W6" s="248"/>
    </row>
    <row r="7" spans="1:23" ht="23.25" x14ac:dyDescent="0.35">
      <c r="A7" s="250"/>
      <c r="B7" s="251"/>
      <c r="C7" s="248"/>
      <c r="D7" s="248"/>
      <c r="E7" s="248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8"/>
      <c r="Q7" s="248"/>
      <c r="R7" s="248"/>
      <c r="S7" s="248"/>
      <c r="T7" s="249"/>
      <c r="U7" s="248"/>
      <c r="V7" s="248"/>
      <c r="W7" s="248"/>
    </row>
    <row r="8" spans="1:23" ht="23.25" x14ac:dyDescent="0.35">
      <c r="A8" s="250"/>
      <c r="B8" s="251"/>
      <c r="C8" s="248"/>
      <c r="D8" s="248"/>
      <c r="E8" s="246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8"/>
      <c r="Q8" s="248"/>
      <c r="R8" s="248"/>
      <c r="S8" s="248"/>
      <c r="T8" s="249"/>
      <c r="U8" s="248"/>
      <c r="V8" s="248"/>
      <c r="W8" s="248"/>
    </row>
    <row r="9" spans="1:23" ht="18.75" x14ac:dyDescent="0.25">
      <c r="A9" s="246"/>
      <c r="B9" s="246"/>
      <c r="C9" s="246"/>
      <c r="D9" s="246"/>
      <c r="E9" s="246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8"/>
      <c r="Q9" s="248"/>
      <c r="R9" s="248"/>
      <c r="S9" s="248"/>
      <c r="T9" s="249"/>
      <c r="U9" s="248"/>
      <c r="V9" s="248"/>
      <c r="W9" s="248"/>
    </row>
    <row r="10" spans="1:23" x14ac:dyDescent="0.25">
      <c r="T10" s="225"/>
      <c r="U10" s="225"/>
      <c r="V10" s="225"/>
      <c r="W10" s="225"/>
    </row>
    <row r="11" spans="1:23" ht="15.75" thickBot="1" x14ac:dyDescent="0.3"/>
    <row r="12" spans="1:23" ht="15.75" thickBot="1" x14ac:dyDescent="0.3">
      <c r="A12" s="252" t="s">
        <v>194</v>
      </c>
      <c r="B12" s="253"/>
      <c r="C12" s="253"/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3"/>
      <c r="V12" s="253"/>
      <c r="W12" s="254"/>
    </row>
    <row r="13" spans="1:23" ht="15.75" thickBot="1" x14ac:dyDescent="0.3"/>
    <row r="14" spans="1:23" ht="15.75" thickBot="1" x14ac:dyDescent="0.3">
      <c r="F14" s="255" t="s">
        <v>195</v>
      </c>
      <c r="G14" s="256"/>
      <c r="H14" s="256"/>
      <c r="I14" s="257"/>
      <c r="J14" s="258" t="s">
        <v>196</v>
      </c>
      <c r="K14" s="259"/>
      <c r="L14" s="259"/>
      <c r="M14" s="260"/>
      <c r="N14" s="255" t="s">
        <v>197</v>
      </c>
      <c r="O14" s="256"/>
      <c r="P14" s="256"/>
      <c r="Q14" s="256"/>
      <c r="R14" s="257"/>
    </row>
    <row r="15" spans="1:23" ht="15.75" thickBot="1" x14ac:dyDescent="0.3">
      <c r="F15" s="261"/>
      <c r="G15" s="262"/>
      <c r="H15" s="262"/>
      <c r="I15" s="263"/>
      <c r="J15" s="264" t="s">
        <v>198</v>
      </c>
      <c r="K15" s="260"/>
      <c r="L15" s="259" t="s">
        <v>199</v>
      </c>
      <c r="M15" s="260"/>
      <c r="N15" s="261"/>
      <c r="O15" s="262"/>
      <c r="P15" s="262"/>
      <c r="Q15" s="262"/>
      <c r="R15" s="263"/>
    </row>
    <row r="16" spans="1:23" x14ac:dyDescent="0.25">
      <c r="F16" s="265" t="s">
        <v>200</v>
      </c>
      <c r="G16" s="266"/>
      <c r="H16" s="266"/>
      <c r="I16" s="267"/>
      <c r="J16" s="268">
        <v>0</v>
      </c>
      <c r="K16" s="269"/>
      <c r="L16" s="270">
        <v>6</v>
      </c>
      <c r="M16" s="268"/>
      <c r="N16" s="265">
        <v>6</v>
      </c>
      <c r="O16" s="266"/>
      <c r="P16" s="266"/>
      <c r="Q16" s="266"/>
      <c r="R16" s="267"/>
    </row>
    <row r="17" spans="1:23" x14ac:dyDescent="0.25">
      <c r="F17" s="271" t="s">
        <v>201</v>
      </c>
      <c r="G17" s="272"/>
      <c r="H17" s="272"/>
      <c r="I17" s="273"/>
      <c r="J17" s="274">
        <v>0</v>
      </c>
      <c r="K17" s="275"/>
      <c r="L17" s="276">
        <v>80</v>
      </c>
      <c r="M17" s="274"/>
      <c r="N17" s="271">
        <v>66</v>
      </c>
      <c r="O17" s="272"/>
      <c r="P17" s="272"/>
      <c r="Q17" s="272"/>
      <c r="R17" s="273"/>
    </row>
    <row r="18" spans="1:23" x14ac:dyDescent="0.25">
      <c r="F18" s="271" t="s">
        <v>202</v>
      </c>
      <c r="G18" s="272"/>
      <c r="H18" s="272"/>
      <c r="I18" s="273"/>
      <c r="J18" s="274">
        <v>1.08</v>
      </c>
      <c r="K18" s="275"/>
      <c r="L18" s="276">
        <v>1.3</v>
      </c>
      <c r="M18" s="274"/>
      <c r="N18" s="277">
        <v>1.1200000000000001</v>
      </c>
      <c r="O18" s="278"/>
      <c r="P18" s="278"/>
      <c r="Q18" s="278"/>
      <c r="R18" s="279"/>
    </row>
    <row r="19" spans="1:23" x14ac:dyDescent="0.25">
      <c r="F19" s="271" t="s">
        <v>203</v>
      </c>
      <c r="G19" s="272"/>
      <c r="H19" s="272"/>
      <c r="I19" s="273"/>
      <c r="J19" s="280">
        <v>33</v>
      </c>
      <c r="K19" s="275"/>
      <c r="L19" s="276">
        <v>44</v>
      </c>
      <c r="M19" s="274"/>
      <c r="N19" s="277">
        <v>36.75</v>
      </c>
      <c r="O19" s="278"/>
      <c r="P19" s="278"/>
      <c r="Q19" s="278"/>
      <c r="R19" s="279"/>
    </row>
    <row r="20" spans="1:23" x14ac:dyDescent="0.25">
      <c r="F20" s="271" t="s">
        <v>204</v>
      </c>
      <c r="G20" s="272"/>
      <c r="H20" s="272"/>
      <c r="I20" s="273"/>
      <c r="J20" s="280">
        <v>2</v>
      </c>
      <c r="K20" s="275"/>
      <c r="L20" s="276">
        <v>4.5</v>
      </c>
      <c r="M20" s="274"/>
      <c r="N20" s="277">
        <v>2.4</v>
      </c>
      <c r="O20" s="278"/>
      <c r="P20" s="278"/>
      <c r="Q20" s="278"/>
      <c r="R20" s="279"/>
    </row>
    <row r="21" spans="1:23" ht="15.75" thickBot="1" x14ac:dyDescent="0.3">
      <c r="F21" s="281" t="s">
        <v>136</v>
      </c>
      <c r="G21" s="282"/>
      <c r="H21" s="282"/>
      <c r="I21" s="283"/>
      <c r="J21" s="284">
        <v>5.8</v>
      </c>
      <c r="K21" s="285"/>
      <c r="L21" s="286">
        <v>7</v>
      </c>
      <c r="M21" s="287"/>
      <c r="N21" s="288">
        <v>6.15</v>
      </c>
      <c r="O21" s="289"/>
      <c r="P21" s="289"/>
      <c r="Q21" s="289"/>
      <c r="R21" s="290"/>
    </row>
    <row r="22" spans="1:23" x14ac:dyDescent="0.25">
      <c r="F22" s="246"/>
      <c r="G22" s="246"/>
      <c r="H22" s="246"/>
      <c r="I22" s="246"/>
      <c r="J22" s="246"/>
      <c r="K22" s="246"/>
      <c r="L22" s="246"/>
      <c r="M22" s="246"/>
      <c r="N22" s="246"/>
      <c r="O22" s="246"/>
      <c r="P22" s="246"/>
      <c r="Q22" s="246"/>
      <c r="R22" s="246"/>
    </row>
    <row r="23" spans="1:23" x14ac:dyDescent="0.25">
      <c r="F23" s="246"/>
      <c r="G23" s="246"/>
      <c r="H23" s="246"/>
      <c r="I23" s="246"/>
      <c r="J23" s="246"/>
      <c r="K23" s="246"/>
      <c r="L23" s="246"/>
      <c r="M23" s="246"/>
      <c r="N23" s="246"/>
      <c r="O23" s="246"/>
      <c r="P23" s="246"/>
      <c r="Q23" s="246"/>
      <c r="R23" s="246"/>
    </row>
    <row r="24" spans="1:23" ht="15.75" thickBot="1" x14ac:dyDescent="0.3"/>
    <row r="25" spans="1:23" ht="15.75" thickBot="1" x14ac:dyDescent="0.3">
      <c r="A25" s="252" t="s">
        <v>205</v>
      </c>
      <c r="B25" s="253"/>
      <c r="C25" s="253"/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4"/>
    </row>
    <row r="27" spans="1:23" x14ac:dyDescent="0.25">
      <c r="E27" s="225"/>
      <c r="F27" s="225"/>
      <c r="G27" s="225"/>
      <c r="H27" s="225"/>
      <c r="I27" s="225"/>
      <c r="J27" s="225"/>
      <c r="K27" s="225"/>
      <c r="L27" s="225"/>
      <c r="M27" s="225"/>
      <c r="N27" s="225"/>
      <c r="O27" s="225"/>
      <c r="P27" s="225"/>
      <c r="Q27" s="225"/>
      <c r="R27" s="225"/>
      <c r="S27" s="225"/>
    </row>
    <row r="28" spans="1:23" ht="15.75" thickBot="1" x14ac:dyDescent="0.3">
      <c r="E28" s="225"/>
      <c r="F28" s="225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  <c r="S28" s="225"/>
    </row>
    <row r="29" spans="1:23" ht="15.75" thickBot="1" x14ac:dyDescent="0.3">
      <c r="E29" s="264" t="s">
        <v>206</v>
      </c>
      <c r="F29" s="259"/>
      <c r="G29" s="259"/>
      <c r="H29" s="259"/>
      <c r="I29" s="259"/>
      <c r="J29" s="259"/>
      <c r="K29" s="259"/>
      <c r="L29" s="259"/>
      <c r="M29" s="259"/>
      <c r="N29" s="259"/>
      <c r="O29" s="259"/>
      <c r="P29" s="259"/>
      <c r="Q29" s="259"/>
      <c r="R29" s="259"/>
      <c r="S29" s="260"/>
    </row>
    <row r="30" spans="1:23" x14ac:dyDescent="0.25"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</row>
    <row r="31" spans="1:23" x14ac:dyDescent="0.25">
      <c r="E31" s="225"/>
      <c r="F31" s="225"/>
      <c r="G31" s="225"/>
      <c r="H31" s="225"/>
      <c r="I31" s="225"/>
      <c r="J31" s="225"/>
      <c r="K31" s="225"/>
      <c r="L31" s="225"/>
      <c r="M31" s="225"/>
      <c r="N31" s="225"/>
      <c r="O31" s="225"/>
      <c r="P31" s="225"/>
      <c r="Q31" s="225"/>
      <c r="R31" s="225"/>
      <c r="S31" s="225"/>
    </row>
    <row r="32" spans="1:23" x14ac:dyDescent="0.25"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</row>
    <row r="33" spans="1:23" x14ac:dyDescent="0.25"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</row>
    <row r="35" spans="1:23" ht="15.75" thickBot="1" x14ac:dyDescent="0.3"/>
    <row r="36" spans="1:23" ht="15.75" thickBot="1" x14ac:dyDescent="0.3">
      <c r="A36" s="252" t="s">
        <v>207</v>
      </c>
      <c r="B36" s="253"/>
      <c r="C36" s="253"/>
      <c r="D36" s="253"/>
      <c r="E36" s="253"/>
      <c r="F36" s="253"/>
      <c r="G36" s="253"/>
      <c r="H36" s="253"/>
      <c r="I36" s="253"/>
      <c r="J36" s="253"/>
      <c r="K36" s="253"/>
      <c r="L36" s="253"/>
      <c r="M36" s="253"/>
      <c r="N36" s="253"/>
      <c r="O36" s="253"/>
      <c r="P36" s="253"/>
      <c r="Q36" s="253"/>
      <c r="R36" s="253"/>
      <c r="S36" s="253"/>
      <c r="T36" s="253"/>
      <c r="U36" s="253"/>
      <c r="V36" s="253"/>
      <c r="W36" s="254"/>
    </row>
    <row r="37" spans="1:23" ht="15.75" thickBot="1" x14ac:dyDescent="0.3"/>
    <row r="38" spans="1:23" ht="15.75" thickBot="1" x14ac:dyDescent="0.3">
      <c r="D38" s="292" t="s">
        <v>195</v>
      </c>
      <c r="E38" s="293"/>
      <c r="F38" s="293"/>
      <c r="G38" s="294"/>
      <c r="H38" s="292" t="s">
        <v>196</v>
      </c>
      <c r="I38" s="293"/>
      <c r="J38" s="293"/>
      <c r="K38" s="293"/>
      <c r="L38" s="293"/>
      <c r="M38" s="293"/>
      <c r="N38" s="293"/>
      <c r="O38" s="294"/>
      <c r="P38" s="292" t="s">
        <v>197</v>
      </c>
      <c r="Q38" s="293"/>
      <c r="R38" s="293"/>
      <c r="S38" s="293"/>
      <c r="T38" s="294"/>
    </row>
    <row r="39" spans="1:23" x14ac:dyDescent="0.25">
      <c r="D39" s="265" t="s">
        <v>208</v>
      </c>
      <c r="E39" s="266"/>
      <c r="F39" s="266"/>
      <c r="G39" s="267"/>
      <c r="H39" s="265" t="s">
        <v>209</v>
      </c>
      <c r="I39" s="266"/>
      <c r="J39" s="266"/>
      <c r="K39" s="266"/>
      <c r="L39" s="266"/>
      <c r="M39" s="266"/>
      <c r="N39" s="266"/>
      <c r="O39" s="267"/>
      <c r="P39" s="265" t="s">
        <v>210</v>
      </c>
      <c r="Q39" s="266"/>
      <c r="R39" s="266"/>
      <c r="S39" s="266"/>
      <c r="T39" s="267"/>
    </row>
    <row r="40" spans="1:23" x14ac:dyDescent="0.25">
      <c r="D40" s="271" t="s">
        <v>211</v>
      </c>
      <c r="E40" s="272"/>
      <c r="F40" s="272"/>
      <c r="G40" s="273"/>
      <c r="H40" s="271" t="s">
        <v>212</v>
      </c>
      <c r="I40" s="272"/>
      <c r="J40" s="272"/>
      <c r="K40" s="272"/>
      <c r="L40" s="272"/>
      <c r="M40" s="272"/>
      <c r="N40" s="272"/>
      <c r="O40" s="273"/>
      <c r="P40" s="271" t="s">
        <v>210</v>
      </c>
      <c r="Q40" s="272"/>
      <c r="R40" s="272"/>
      <c r="S40" s="272"/>
      <c r="T40" s="273"/>
    </row>
    <row r="41" spans="1:23" x14ac:dyDescent="0.25">
      <c r="D41" s="271" t="s">
        <v>213</v>
      </c>
      <c r="E41" s="272"/>
      <c r="F41" s="272"/>
      <c r="G41" s="273"/>
      <c r="H41" s="271" t="s">
        <v>214</v>
      </c>
      <c r="I41" s="272"/>
      <c r="J41" s="272"/>
      <c r="K41" s="272"/>
      <c r="L41" s="272"/>
      <c r="M41" s="272"/>
      <c r="N41" s="272"/>
      <c r="O41" s="273"/>
      <c r="P41" s="271" t="s">
        <v>210</v>
      </c>
      <c r="Q41" s="272"/>
      <c r="R41" s="272"/>
      <c r="S41" s="272"/>
      <c r="T41" s="273"/>
    </row>
    <row r="42" spans="1:23" x14ac:dyDescent="0.25">
      <c r="D42" s="280" t="s">
        <v>215</v>
      </c>
      <c r="E42" s="274"/>
      <c r="F42" s="274"/>
      <c r="G42" s="295"/>
      <c r="H42" s="280" t="s">
        <v>216</v>
      </c>
      <c r="I42" s="274"/>
      <c r="J42" s="274"/>
      <c r="K42" s="274"/>
      <c r="L42" s="274"/>
      <c r="M42" s="274"/>
      <c r="N42" s="274"/>
      <c r="O42" s="295"/>
      <c r="P42" s="280" t="s">
        <v>210</v>
      </c>
      <c r="Q42" s="274"/>
      <c r="R42" s="274"/>
      <c r="S42" s="274"/>
      <c r="T42" s="295"/>
    </row>
    <row r="43" spans="1:23" ht="15.75" thickBot="1" x14ac:dyDescent="0.3">
      <c r="D43" s="296" t="s">
        <v>217</v>
      </c>
      <c r="E43" s="297"/>
      <c r="F43" s="297"/>
      <c r="G43" s="298"/>
      <c r="H43" s="296" t="s">
        <v>218</v>
      </c>
      <c r="I43" s="297"/>
      <c r="J43" s="297"/>
      <c r="K43" s="297"/>
      <c r="L43" s="297"/>
      <c r="M43" s="297"/>
      <c r="N43" s="297"/>
      <c r="O43" s="298"/>
      <c r="P43" s="281" t="s">
        <v>210</v>
      </c>
      <c r="Q43" s="282"/>
      <c r="R43" s="282"/>
      <c r="S43" s="282"/>
      <c r="T43" s="283"/>
    </row>
    <row r="46" spans="1:23" x14ac:dyDescent="0.25">
      <c r="E46" s="246"/>
      <c r="F46" s="246"/>
      <c r="G46" s="246"/>
      <c r="H46" s="246"/>
      <c r="I46" s="246"/>
      <c r="J46" s="246"/>
      <c r="K46" s="246"/>
      <c r="L46" s="246"/>
      <c r="M46" s="246"/>
      <c r="O46" s="246"/>
      <c r="P46" s="246"/>
      <c r="Q46" s="246"/>
      <c r="R46" s="246"/>
      <c r="S46" s="246"/>
    </row>
    <row r="47" spans="1:23" x14ac:dyDescent="0.25">
      <c r="E47" s="246"/>
      <c r="F47" s="246"/>
      <c r="G47" s="246"/>
      <c r="H47" s="246"/>
      <c r="I47" s="246"/>
      <c r="J47" s="246"/>
      <c r="K47" s="246"/>
      <c r="L47" s="246"/>
      <c r="M47" s="246"/>
      <c r="O47" s="246"/>
      <c r="P47" s="246"/>
      <c r="Q47" s="246"/>
      <c r="R47" s="246"/>
      <c r="S47" s="246"/>
    </row>
    <row r="48" spans="1:23" x14ac:dyDescent="0.25">
      <c r="E48" s="246"/>
      <c r="F48" s="246"/>
      <c r="G48" s="246"/>
      <c r="H48" s="246"/>
      <c r="I48" s="246"/>
      <c r="J48" s="246"/>
      <c r="K48" s="246"/>
      <c r="L48" s="246"/>
      <c r="M48" s="246"/>
      <c r="O48" s="246"/>
      <c r="P48" s="246"/>
      <c r="Q48" s="246"/>
      <c r="R48" s="246"/>
      <c r="S48" s="246"/>
    </row>
    <row r="49" spans="5:19" ht="15.75" thickBot="1" x14ac:dyDescent="0.3">
      <c r="E49" s="246"/>
      <c r="F49" s="246"/>
      <c r="G49" s="246"/>
      <c r="H49" s="246"/>
      <c r="I49" s="299"/>
      <c r="J49" s="299"/>
      <c r="K49" s="299"/>
      <c r="L49" s="299"/>
      <c r="M49" s="299"/>
      <c r="N49" s="299"/>
      <c r="O49" s="299"/>
      <c r="P49" s="246"/>
      <c r="Q49" s="246"/>
      <c r="R49" s="246"/>
      <c r="S49" s="246"/>
    </row>
    <row r="50" spans="5:19" x14ac:dyDescent="0.25">
      <c r="E50" s="225" t="s">
        <v>219</v>
      </c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</row>
    <row r="51" spans="5:19" x14ac:dyDescent="0.25">
      <c r="E51" s="225"/>
      <c r="F51" s="225"/>
      <c r="G51" s="225"/>
      <c r="H51" s="225"/>
      <c r="I51" s="225"/>
      <c r="J51" s="225" t="s">
        <v>220</v>
      </c>
      <c r="K51" s="225"/>
      <c r="L51" s="225"/>
      <c r="M51" s="225"/>
      <c r="O51" s="225"/>
      <c r="P51" s="225"/>
      <c r="Q51" s="225"/>
      <c r="R51" s="225"/>
      <c r="S51" s="225"/>
    </row>
  </sheetData>
  <mergeCells count="84">
    <mergeCell ref="D43:G43"/>
    <mergeCell ref="H43:O43"/>
    <mergeCell ref="P43:T43"/>
    <mergeCell ref="E50:S50"/>
    <mergeCell ref="E51:I51"/>
    <mergeCell ref="J51:M51"/>
    <mergeCell ref="O51:S51"/>
    <mergeCell ref="D41:G41"/>
    <mergeCell ref="H41:O41"/>
    <mergeCell ref="P41:T41"/>
    <mergeCell ref="D42:G42"/>
    <mergeCell ref="H42:O42"/>
    <mergeCell ref="P42:T42"/>
    <mergeCell ref="D39:G39"/>
    <mergeCell ref="H39:O39"/>
    <mergeCell ref="P39:T39"/>
    <mergeCell ref="D40:G40"/>
    <mergeCell ref="H40:O40"/>
    <mergeCell ref="P40:T40"/>
    <mergeCell ref="E32:I32"/>
    <mergeCell ref="J32:N32"/>
    <mergeCell ref="O32:S32"/>
    <mergeCell ref="A36:W36"/>
    <mergeCell ref="D38:G38"/>
    <mergeCell ref="H38:O38"/>
    <mergeCell ref="P38:T38"/>
    <mergeCell ref="E29:S29"/>
    <mergeCell ref="E30:I30"/>
    <mergeCell ref="J30:N30"/>
    <mergeCell ref="O30:S30"/>
    <mergeCell ref="E31:I31"/>
    <mergeCell ref="J31:N31"/>
    <mergeCell ref="O31:S31"/>
    <mergeCell ref="A25:W25"/>
    <mergeCell ref="E27:I27"/>
    <mergeCell ref="J27:N27"/>
    <mergeCell ref="O27:S27"/>
    <mergeCell ref="E28:I28"/>
    <mergeCell ref="J28:N28"/>
    <mergeCell ref="O28:S28"/>
    <mergeCell ref="F20:I20"/>
    <mergeCell ref="J20:K20"/>
    <mergeCell ref="L20:M20"/>
    <mergeCell ref="N20:R20"/>
    <mergeCell ref="F21:I21"/>
    <mergeCell ref="J21:K21"/>
    <mergeCell ref="L21:M21"/>
    <mergeCell ref="N21:R21"/>
    <mergeCell ref="F18:I18"/>
    <mergeCell ref="J18:K18"/>
    <mergeCell ref="L18:M18"/>
    <mergeCell ref="N18:R18"/>
    <mergeCell ref="F19:I19"/>
    <mergeCell ref="J19:K19"/>
    <mergeCell ref="L19:M19"/>
    <mergeCell ref="N19:R19"/>
    <mergeCell ref="F16:I16"/>
    <mergeCell ref="J16:K16"/>
    <mergeCell ref="L16:M16"/>
    <mergeCell ref="N16:R16"/>
    <mergeCell ref="F17:I17"/>
    <mergeCell ref="J17:K17"/>
    <mergeCell ref="L17:M17"/>
    <mergeCell ref="N17:R17"/>
    <mergeCell ref="T4:W4"/>
    <mergeCell ref="P5:S5"/>
    <mergeCell ref="T5:W5"/>
    <mergeCell ref="T10:W10"/>
    <mergeCell ref="A12:W12"/>
    <mergeCell ref="F14:I15"/>
    <mergeCell ref="J14:M14"/>
    <mergeCell ref="N14:R15"/>
    <mergeCell ref="J15:K15"/>
    <mergeCell ref="L15:M15"/>
    <mergeCell ref="A1:E5"/>
    <mergeCell ref="F1:O2"/>
    <mergeCell ref="P1:S1"/>
    <mergeCell ref="T1:W1"/>
    <mergeCell ref="P2:Q2"/>
    <mergeCell ref="R2:W2"/>
    <mergeCell ref="F3:O5"/>
    <mergeCell ref="P3:Q3"/>
    <mergeCell ref="R3:W3"/>
    <mergeCell ref="P4:S4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35C1A-5331-48DB-883C-FCC915A4FCC0}">
  <sheetPr codeName="Hoja15"/>
  <dimension ref="A1:C11"/>
  <sheetViews>
    <sheetView tabSelected="1" workbookViewId="0">
      <selection activeCell="B6" sqref="B6"/>
    </sheetView>
  </sheetViews>
  <sheetFormatPr baseColWidth="10" defaultRowHeight="15" x14ac:dyDescent="0.25"/>
  <cols>
    <col min="1" max="1" width="17.85546875" customWidth="1"/>
    <col min="2" max="2" width="13.140625" bestFit="1" customWidth="1"/>
  </cols>
  <sheetData>
    <row r="1" spans="1:3" ht="33" x14ac:dyDescent="0.25">
      <c r="A1" s="313" t="s">
        <v>251</v>
      </c>
      <c r="B1" s="314">
        <v>45767</v>
      </c>
      <c r="C1" s="315"/>
    </row>
    <row r="2" spans="1:3" ht="16.5" x14ac:dyDescent="0.25">
      <c r="A2" s="313" t="s">
        <v>252</v>
      </c>
      <c r="B2" s="313">
        <v>34381</v>
      </c>
      <c r="C2" s="315"/>
    </row>
    <row r="3" spans="1:3" ht="66" x14ac:dyDescent="0.25">
      <c r="A3" s="313" t="s">
        <v>253</v>
      </c>
      <c r="B3" s="313" t="s">
        <v>191</v>
      </c>
      <c r="C3" s="315"/>
    </row>
    <row r="4" spans="1:3" ht="16.5" x14ac:dyDescent="0.25">
      <c r="A4" s="313" t="s">
        <v>254</v>
      </c>
      <c r="B4" s="316">
        <v>40650</v>
      </c>
      <c r="C4" s="315"/>
    </row>
    <row r="5" spans="1:3" ht="16.5" x14ac:dyDescent="0.25">
      <c r="A5" s="313" t="s">
        <v>255</v>
      </c>
      <c r="B5" s="317">
        <v>45767</v>
      </c>
      <c r="C5" s="315"/>
    </row>
    <row r="6" spans="1:3" ht="16.5" x14ac:dyDescent="0.25">
      <c r="A6" s="313" t="s">
        <v>200</v>
      </c>
      <c r="B6" s="313"/>
      <c r="C6" s="315"/>
    </row>
    <row r="7" spans="1:3" ht="16.5" x14ac:dyDescent="0.25">
      <c r="A7" s="313" t="s">
        <v>201</v>
      </c>
      <c r="B7" s="313"/>
      <c r="C7" s="315"/>
    </row>
    <row r="8" spans="1:3" ht="16.5" x14ac:dyDescent="0.25">
      <c r="A8" s="313" t="s">
        <v>202</v>
      </c>
      <c r="B8" s="313"/>
      <c r="C8" s="315"/>
    </row>
    <row r="9" spans="1:3" ht="16.5" x14ac:dyDescent="0.25">
      <c r="A9" s="313" t="s">
        <v>203</v>
      </c>
      <c r="B9" s="313"/>
      <c r="C9" s="315"/>
    </row>
    <row r="10" spans="1:3" ht="16.5" x14ac:dyDescent="0.25">
      <c r="A10" s="313" t="s">
        <v>204</v>
      </c>
      <c r="B10" s="313"/>
      <c r="C10" s="315"/>
    </row>
    <row r="11" spans="1:3" ht="16.5" x14ac:dyDescent="0.25">
      <c r="A11" s="313" t="s">
        <v>136</v>
      </c>
      <c r="B11" s="313"/>
      <c r="C11" s="3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3</vt:i4>
      </vt:variant>
    </vt:vector>
  </HeadingPairs>
  <TitlesOfParts>
    <vt:vector size="23" baseType="lpstr">
      <vt:lpstr>INICIO</vt:lpstr>
      <vt:lpstr>Otros</vt:lpstr>
      <vt:lpstr>Queso_Crema</vt:lpstr>
      <vt:lpstr>Calderas</vt:lpstr>
      <vt:lpstr>Certificado</vt:lpstr>
      <vt:lpstr>RECIBO</vt:lpstr>
      <vt:lpstr>IMPRESION</vt:lpstr>
      <vt:lpstr>Liberacion</vt:lpstr>
      <vt:lpstr>Envasado</vt:lpstr>
      <vt:lpstr>Suero_Polvo</vt:lpstr>
      <vt:lpstr>Solidos_Mantequilla</vt:lpstr>
      <vt:lpstr>Ollas_Sec2</vt:lpstr>
      <vt:lpstr>Color</vt:lpstr>
      <vt:lpstr>OLLAS</vt:lpstr>
      <vt:lpstr>Jarabe_Maiz</vt:lpstr>
      <vt:lpstr>Colageno</vt:lpstr>
      <vt:lpstr>Calostro</vt:lpstr>
      <vt:lpstr>Configuracion</vt:lpstr>
      <vt:lpstr>PlantillaCertificado</vt:lpstr>
      <vt:lpstr>DatosCertificado</vt:lpstr>
      <vt:lpstr>Certificado!Área_de_impresión</vt:lpstr>
      <vt:lpstr>IMPRESION!Área_de_impresión</vt:lpstr>
      <vt:lpstr>OLLAS!Área_de_impresión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Control Calidad</dc:creator>
  <cp:lastModifiedBy>Control Calidad</cp:lastModifiedBy>
  <cp:lastPrinted>2025-05-30T22:33:28Z</cp:lastPrinted>
  <dcterms:created xsi:type="dcterms:W3CDTF">2025-05-30T18:47:11Z</dcterms:created>
  <dcterms:modified xsi:type="dcterms:W3CDTF">2025-06-14T20:24:36Z</dcterms:modified>
</cp:coreProperties>
</file>